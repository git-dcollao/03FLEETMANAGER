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es" sheetId="1" r:id="rId4"/>
    <sheet state="visible" name="Coord-Recorrido" sheetId="2" r:id="rId5"/>
    <sheet state="visible" name="Motivos" sheetId="3" r:id="rId6"/>
    <sheet state="visible" name="Hoja 1" sheetId="4" r:id="rId7"/>
    <sheet state="visible" name="Calculo" sheetId="5" r:id="rId8"/>
    <sheet state="visible" name="Consideraciones" sheetId="6" r:id="rId9"/>
    <sheet state="visible" name="Recorrido" sheetId="7" r:id="rId10"/>
  </sheets>
  <definedNames/>
  <calcPr/>
  <extLst>
    <ext uri="GoogleSheetsCustomDataVersion2">
      <go:sheetsCustomData xmlns:go="http://customooxmlschemas.google.com/" r:id="rId11" roundtripDataChecksum="o13jLL8KqubkOOnX8Pht2VUhK7+bLKYf2SHuUpOxJHw="/>
    </ext>
  </extLst>
</workbook>
</file>

<file path=xl/sharedStrings.xml><?xml version="1.0" encoding="utf-8"?>
<sst xmlns="http://schemas.openxmlformats.org/spreadsheetml/2006/main" count="274" uniqueCount="173">
  <si>
    <t>Y</t>
  </si>
  <si>
    <t>X</t>
  </si>
  <si>
    <t>[h:m:s]</t>
  </si>
  <si>
    <t>[m]</t>
  </si>
  <si>
    <t>[Km/Hr]</t>
  </si>
  <si>
    <t>[s]</t>
  </si>
  <si>
    <t>Ecu</t>
  </si>
  <si>
    <t>Gre</t>
  </si>
  <si>
    <t>h</t>
  </si>
  <si>
    <t>k</t>
  </si>
  <si>
    <t>p5</t>
  </si>
  <si>
    <t>No_Camion</t>
  </si>
  <si>
    <t>Direccion</t>
  </si>
  <si>
    <t>Lat</t>
  </si>
  <si>
    <t>Long</t>
  </si>
  <si>
    <t>Hora_Inicio</t>
  </si>
  <si>
    <t>Hora_Final</t>
  </si>
  <si>
    <t>Distancia_Recorrida</t>
  </si>
  <si>
    <t>Veloc_Max</t>
  </si>
  <si>
    <t>T_de_Viaje</t>
  </si>
  <si>
    <t>Veloc_media</t>
  </si>
  <si>
    <t>E [m]</t>
  </si>
  <si>
    <t>S [m]</t>
  </si>
  <si>
    <t>Per [m]</t>
  </si>
  <si>
    <t>r [m]</t>
  </si>
  <si>
    <t>r2 [m2]</t>
  </si>
  <si>
    <t>Ingreso de sectores fijos a controlar</t>
  </si>
  <si>
    <t>A</t>
  </si>
  <si>
    <t>Ingreso de sectores de recojo diario de basura (según programación)</t>
  </si>
  <si>
    <t>Sector 1</t>
  </si>
  <si>
    <t>P1</t>
  </si>
  <si>
    <t>Ingreso de datos de producción y trabajo de camiones sin GPS</t>
  </si>
  <si>
    <t>P2</t>
  </si>
  <si>
    <t>Ingreso de los datos de ton de basura botadas por camión diariamente</t>
  </si>
  <si>
    <t>P3</t>
  </si>
  <si>
    <t>Información de la dotación de personal diaria que trabaja por camión</t>
  </si>
  <si>
    <t>Sector 2</t>
  </si>
  <si>
    <t>P8</t>
  </si>
  <si>
    <t>B</t>
  </si>
  <si>
    <t>DENTRO</t>
  </si>
  <si>
    <t>FUERA</t>
  </si>
  <si>
    <t>D</t>
  </si>
  <si>
    <t>C</t>
  </si>
  <si>
    <t>Ecuación ordinaria de un círculo</t>
  </si>
  <si>
    <t>REPORTE PERMANENTE POR TODOS LOS CAMIONES (24 Hr)</t>
  </si>
  <si>
    <t>Sector</t>
  </si>
  <si>
    <t>Camión N°</t>
  </si>
  <si>
    <t>INICIO de Movimientos</t>
  </si>
  <si>
    <t>FINAL de Movimiento</t>
  </si>
  <si>
    <t>Distancia recorrida
[m]</t>
  </si>
  <si>
    <t>Velocidad MAX
[Km/Hr]</t>
  </si>
  <si>
    <t>Status Vehículo</t>
  </si>
  <si>
    <t>Tiempo de Parada / Movimiento [min ó s]</t>
  </si>
  <si>
    <t>P4</t>
  </si>
  <si>
    <t>Fecha</t>
  </si>
  <si>
    <t>Hora
hh:mm:ss</t>
  </si>
  <si>
    <t>Dirección</t>
  </si>
  <si>
    <t>Lat
UTM E [m]</t>
  </si>
  <si>
    <t>Long
UTM S [m]</t>
  </si>
  <si>
    <t>P5</t>
  </si>
  <si>
    <t>Dir1</t>
  </si>
  <si>
    <t>Dir2</t>
  </si>
  <si>
    <t>P6</t>
  </si>
  <si>
    <t>P7</t>
  </si>
  <si>
    <t>Dir3</t>
  </si>
  <si>
    <t>Reporte requerido cada 15 ó 30 [s], por cada camión que esté en turno.</t>
  </si>
  <si>
    <t>Sino se pueden obtener los datos en UTM, entonces en grados decimales estará bien</t>
  </si>
  <si>
    <t>El status de los vehículos debieran girar en torno a: En movimiento, Detenido, Apagado, Arranque</t>
  </si>
  <si>
    <t>Motivos de detenciones de camiones en Taller</t>
  </si>
  <si>
    <t>Tipo de Problema:</t>
  </si>
  <si>
    <t>Objetivo General</t>
  </si>
  <si>
    <t>N°</t>
  </si>
  <si>
    <t>MOTIVO</t>
  </si>
  <si>
    <t>(Camión)</t>
  </si>
  <si>
    <t>(Compactadora)</t>
  </si>
  <si>
    <t>(Personal)</t>
  </si>
  <si>
    <t>Generar un control del servicio de recolección de basura en la comuna de Alto Hospicio</t>
  </si>
  <si>
    <t>Problema</t>
  </si>
  <si>
    <t>Mecánico</t>
  </si>
  <si>
    <t>Accidente</t>
  </si>
  <si>
    <t>Término de turno</t>
  </si>
  <si>
    <t>Eléctrico</t>
  </si>
  <si>
    <t>Médico</t>
  </si>
  <si>
    <t>Objetivos Específicos</t>
  </si>
  <si>
    <t>Hora de colación</t>
  </si>
  <si>
    <t>Hidráulico</t>
  </si>
  <si>
    <t>Familiar</t>
  </si>
  <si>
    <t xml:space="preserve"> - Controlar en línea el cumplimiento de recojo de basura conforme a lo programado diariamente</t>
  </si>
  <si>
    <t>Emergencia</t>
  </si>
  <si>
    <t>Carrocería</t>
  </si>
  <si>
    <t>Estructural</t>
  </si>
  <si>
    <t>Otro</t>
  </si>
  <si>
    <t xml:space="preserve"> - Modelar el proceso de recolección de basura utilizando herramientas basadas en BPM</t>
  </si>
  <si>
    <t xml:space="preserve"> - Calcular tiempos de: traslados, producción, permanencia en determinados sectores y detenciones realizadas por cada camión en los turnos de trabajo</t>
  </si>
  <si>
    <t>Problema en:</t>
  </si>
  <si>
    <t>Pinchazo neumático</t>
  </si>
  <si>
    <t xml:space="preserve"> - Generar reportes sobre la gestión del servicio de atención contratado v/s ejecutado</t>
  </si>
  <si>
    <t>Camión</t>
  </si>
  <si>
    <t>Colisión</t>
  </si>
  <si>
    <t xml:space="preserve"> - Registrar la cantidad de basura vaciada en botadero por camión en cada recorrido realizado</t>
  </si>
  <si>
    <t>Compactadora</t>
  </si>
  <si>
    <t>Choque</t>
  </si>
  <si>
    <t>Personal - Operador</t>
  </si>
  <si>
    <t>Atropello</t>
  </si>
  <si>
    <t>Personal - Peonetas</t>
  </si>
  <si>
    <t>¿Puede seguir trabajando en el turno?</t>
  </si>
  <si>
    <t>- Sí</t>
  </si>
  <si>
    <t>- No</t>
  </si>
  <si>
    <t>¿La carga que tiene queda en el camión?</t>
  </si>
  <si>
    <t xml:space="preserve"> -No</t>
  </si>
  <si>
    <t>Queda en:</t>
  </si>
  <si>
    <t>- Otro camión</t>
  </si>
  <si>
    <t>- Batea</t>
  </si>
  <si>
    <t>Tabla Registros de Eventos</t>
  </si>
  <si>
    <t>Hora</t>
  </si>
  <si>
    <t>Motivo</t>
  </si>
  <si>
    <t>- Identificarlo</t>
  </si>
  <si>
    <t>- Finalizar turno del camión con problemas</t>
  </si>
  <si>
    <t>ID</t>
  </si>
  <si>
    <t>Causa</t>
  </si>
  <si>
    <t>Efecto</t>
  </si>
  <si>
    <t>patente</t>
  </si>
  <si>
    <t>Fecha hora</t>
  </si>
  <si>
    <t>Acción</t>
  </si>
  <si>
    <t>Personas</t>
  </si>
  <si>
    <t>Afecta programación</t>
  </si>
  <si>
    <t>Condición</t>
  </si>
  <si>
    <t>Entorno</t>
  </si>
  <si>
    <t>Causas</t>
  </si>
  <si>
    <t>Falla en Vehículo</t>
  </si>
  <si>
    <t>Falla en Compactadora</t>
  </si>
  <si>
    <t>Problemas del Personal</t>
  </si>
  <si>
    <t>atributos</t>
  </si>
  <si>
    <t>1kb</t>
  </si>
  <si>
    <t>camiones</t>
  </si>
  <si>
    <t>minutos por dia</t>
  </si>
  <si>
    <t>minutos</t>
  </si>
  <si>
    <t>registros X minuto</t>
  </si>
  <si>
    <t>Total de registros dairios</t>
  </si>
  <si>
    <t>[reg/día]</t>
  </si>
  <si>
    <t>[bytes]</t>
  </si>
  <si>
    <t>megas diarios</t>
  </si>
  <si>
    <t>[Kb]</t>
  </si>
  <si>
    <t>[registros]</t>
  </si>
  <si>
    <t>[Kb/reg]</t>
  </si>
  <si>
    <t>X Semana</t>
  </si>
  <si>
    <t>X Mes</t>
  </si>
  <si>
    <t>[Kb/día]</t>
  </si>
  <si>
    <t>X año</t>
  </si>
  <si>
    <t>[Kb/mes]</t>
  </si>
  <si>
    <t>[Mb/mes]</t>
  </si>
  <si>
    <t>[Kb/año]</t>
  </si>
  <si>
    <t>[Mb/año]</t>
  </si>
  <si>
    <t>Lista de consideraciones nuevo contrato servicio de recojo basura AHo</t>
  </si>
  <si>
    <t>Descripción</t>
  </si>
  <si>
    <t>Uso de GPS en cada camión (basura y tolva), reportrando cada 10 [s] su posición (latitud, longitud, fecha, hora)</t>
  </si>
  <si>
    <t>Uso de cámara delantera y trasera en cada camión</t>
  </si>
  <si>
    <t>Información diaria de cada cuadrilla de trabajo por turno en cada camión (conductor, peonetas)</t>
  </si>
  <si>
    <t>Reporte por turno de cada camión de la cantidad de basura llevada a vertedero por cada vez (camión, hora, cantidad basura)</t>
  </si>
  <si>
    <t>Clasificaciones de los motivos de detenciones de los camiones en taller, según las clasificaciones establecidas</t>
  </si>
  <si>
    <t>Conectividad a la información generada por los GPS a través de una tecnología ESB</t>
  </si>
  <si>
    <t>SECTOR</t>
  </si>
  <si>
    <t>SECUENCIA RECORRIDO</t>
  </si>
  <si>
    <t>DESDE</t>
  </si>
  <si>
    <t>TALLER</t>
  </si>
  <si>
    <t>BOTADERO</t>
  </si>
  <si>
    <t>Servicentros</t>
  </si>
  <si>
    <t>Otros sectores</t>
  </si>
  <si>
    <t>Sector de recolección</t>
  </si>
  <si>
    <t>x</t>
  </si>
  <si>
    <t>Botadero</t>
  </si>
  <si>
    <t>E</t>
  </si>
  <si>
    <t>Taller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</si>
</sst>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u/>
      <sz val="11.0"/>
      <color theme="1"/>
      <name val="Calibri"/>
    </font>
    <font/>
    <font>
      <b/>
      <u/>
      <color theme="1"/>
      <name val="Calibri"/>
      <scheme val="minor"/>
    </font>
    <font>
      <b/>
      <u/>
      <sz val="11.0"/>
      <color theme="1"/>
      <name val="Calibri"/>
    </font>
    <font>
      <u/>
      <sz val="11.0"/>
      <color theme="1"/>
      <name val="Calibri"/>
    </font>
    <font>
      <b/>
      <color theme="1"/>
      <name val="Calibri"/>
      <scheme val="minor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FF00"/>
        <bgColor rgb="FF00FF00"/>
      </patternFill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Border="1" applyFill="1" applyFont="1"/>
    <xf borderId="2" fillId="0" fontId="2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shrinkToFit="0" vertical="top" wrapText="1"/>
    </xf>
    <xf borderId="2" fillId="3" fontId="2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horizontal="center"/>
    </xf>
    <xf borderId="0" fillId="0" fontId="1" numFmtId="4" xfId="0" applyFont="1" applyNumberFormat="1"/>
    <xf borderId="0" fillId="0" fontId="3" numFmtId="0" xfId="0" applyFont="1"/>
    <xf borderId="0" fillId="0" fontId="4" numFmtId="0" xfId="0" applyFont="1"/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center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2" fillId="0" fontId="2" numFmtId="0" xfId="0" applyAlignment="1" applyBorder="1" applyFont="1">
      <alignment horizontal="center" shrinkToFit="0" wrapText="1"/>
    </xf>
    <xf borderId="2" fillId="4" fontId="1" numFmtId="0" xfId="0" applyAlignment="1" applyBorder="1" applyFill="1" applyFont="1">
      <alignment horizontal="center"/>
    </xf>
    <xf borderId="2" fillId="4" fontId="1" numFmtId="21" xfId="0" applyBorder="1" applyFont="1" applyNumberFormat="1"/>
    <xf borderId="2" fillId="0" fontId="1" numFmtId="0" xfId="0" applyBorder="1" applyFont="1"/>
    <xf borderId="2" fillId="4" fontId="1" numFmtId="0" xfId="0" applyBorder="1" applyFont="1"/>
    <xf borderId="2" fillId="0" fontId="1" numFmtId="21" xfId="0" applyBorder="1" applyFont="1" applyNumberFormat="1"/>
    <xf borderId="0" fillId="0" fontId="2" numFmtId="0" xfId="0" applyFont="1"/>
    <xf borderId="0" fillId="0" fontId="6" numFmtId="0" xfId="0" applyAlignment="1" applyFont="1">
      <alignment readingOrder="0"/>
    </xf>
    <xf borderId="2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  <xf borderId="8" fillId="0" fontId="1" numFmtId="0" xfId="0" applyAlignment="1" applyBorder="1" applyFont="1">
      <alignment horizontal="left"/>
    </xf>
    <xf borderId="3" fillId="0" fontId="1" numFmtId="0" xfId="0" applyBorder="1" applyFont="1"/>
    <xf borderId="4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0" fillId="0" fontId="3" numFmtId="0" xfId="0" applyAlignment="1" applyFont="1">
      <alignment readingOrder="0"/>
    </xf>
    <xf borderId="2" fillId="0" fontId="7" numFmtId="0" xfId="0" applyBorder="1" applyFont="1"/>
    <xf borderId="2" fillId="0" fontId="3" numFmtId="0" xfId="0" applyBorder="1" applyFont="1"/>
    <xf borderId="2" fillId="0" fontId="3" numFmtId="0" xfId="0" applyAlignment="1" applyBorder="1" applyFont="1">
      <alignment readingOrder="0"/>
    </xf>
    <xf borderId="7" fillId="0" fontId="1" numFmtId="0" xfId="0" applyBorder="1" applyFont="1"/>
    <xf borderId="0" fillId="0" fontId="1" numFmtId="0" xfId="0" applyFont="1"/>
    <xf quotePrefix="1" borderId="2" fillId="0" fontId="1" numFmtId="0" xfId="0" applyAlignment="1" applyBorder="1" applyFont="1">
      <alignment horizontal="center"/>
    </xf>
    <xf borderId="0" fillId="0" fontId="8" numFmtId="0" xfId="0" applyFont="1"/>
    <xf quotePrefix="1" borderId="0" fillId="0" fontId="1" numFmtId="0" xfId="0" applyFont="1"/>
    <xf borderId="2" fillId="5" fontId="2" numFmtId="0" xfId="0" applyAlignment="1" applyBorder="1" applyFill="1" applyFont="1">
      <alignment horizontal="center"/>
    </xf>
    <xf borderId="0" fillId="0" fontId="9" numFmtId="0" xfId="0" applyAlignment="1" applyFont="1">
      <alignment readingOrder="0"/>
    </xf>
    <xf borderId="0" fillId="0" fontId="3" numFmtId="4" xfId="0" applyFont="1" applyNumberFormat="1"/>
    <xf borderId="0" fillId="0" fontId="3" numFmtId="164" xfId="0" applyAlignment="1" applyFont="1" applyNumberFormat="1">
      <alignment readingOrder="0"/>
    </xf>
    <xf borderId="0" fillId="6" fontId="10" numFmtId="0" xfId="0" applyAlignment="1" applyFill="1" applyFont="1">
      <alignment horizontal="left" readingOrder="0"/>
    </xf>
    <xf borderId="0" fillId="0" fontId="3" numFmtId="165" xfId="0" applyFont="1" applyNumberFormat="1"/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5" fontId="2" numFmtId="0" xfId="0" applyAlignment="1" applyBorder="1" applyFont="1">
      <alignment horizontal="center" shrinkToFit="0" vertical="top" wrapText="1"/>
    </xf>
    <xf borderId="4" fillId="5" fontId="2" numFmtId="0" xfId="0" applyAlignment="1" applyBorder="1" applyFont="1">
      <alignment horizontal="center"/>
    </xf>
    <xf borderId="2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1">
    <dxf>
      <font>
        <color rgb="FFFFC000"/>
      </font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342900</xdr:colOff>
      <xdr:row>18</xdr:row>
      <xdr:rowOff>47625</xdr:rowOff>
    </xdr:from>
    <xdr:ext cx="2590800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238125</xdr:colOff>
      <xdr:row>18</xdr:row>
      <xdr:rowOff>66675</xdr:rowOff>
    </xdr:from>
    <xdr:ext cx="2619375" cy="12668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13</xdr:row>
      <xdr:rowOff>57150</xdr:rowOff>
    </xdr:from>
    <xdr:ext cx="2152650" cy="285750"/>
    <xdr:sp>
      <xdr:nvSpPr>
        <xdr:cNvPr id="3" name="Shape 3"/>
        <xdr:cNvSpPr/>
      </xdr:nvSpPr>
      <xdr:spPr>
        <a:xfrm rot="5400000">
          <a:off x="5207888" y="2703675"/>
          <a:ext cx="276225" cy="215265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9525">
          <a:solidFill>
            <a:srgbClr val="4A7D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1200150</xdr:colOff>
      <xdr:row>22</xdr:row>
      <xdr:rowOff>9525</xdr:rowOff>
    </xdr:from>
    <xdr:ext cx="857250" cy="180975"/>
    <xdr:sp>
      <xdr:nvSpPr>
        <xdr:cNvPr id="4" name="Shape 4"/>
        <xdr:cNvSpPr/>
      </xdr:nvSpPr>
      <xdr:spPr>
        <a:xfrm rot="5400000">
          <a:off x="5255513" y="3356138"/>
          <a:ext cx="180975" cy="84772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9525">
          <a:solidFill>
            <a:srgbClr val="4A7D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647700</xdr:colOff>
      <xdr:row>19</xdr:row>
      <xdr:rowOff>0</xdr:rowOff>
    </xdr:from>
    <xdr:ext cx="542925" cy="1019175"/>
    <xdr:grpSp>
      <xdr:nvGrpSpPr>
        <xdr:cNvPr id="2" name="Shape 2"/>
        <xdr:cNvGrpSpPr/>
      </xdr:nvGrpSpPr>
      <xdr:grpSpPr>
        <a:xfrm>
          <a:off x="4841175" y="3513300"/>
          <a:ext cx="1009650" cy="533400"/>
          <a:chOff x="4841175" y="3513300"/>
          <a:chExt cx="1009650" cy="533400"/>
        </a:xfrm>
      </xdr:grpSpPr>
      <xdr:cxnSp>
        <xdr:nvCxnSpPr>
          <xdr:cNvPr id="5" name="Shape 5"/>
          <xdr:cNvCxnSpPr/>
        </xdr:nvCxnSpPr>
        <xdr:spPr>
          <a:xfrm flipH="1" rot="-5400000">
            <a:off x="4841175" y="3513300"/>
            <a:ext cx="1009650" cy="533400"/>
          </a:xfrm>
          <a:prstGeom prst="bentConnector3">
            <a:avLst>
              <a:gd fmla="val 100000" name="adj1"/>
            </a:avLst>
          </a:prstGeom>
          <a:noFill/>
          <a:ln cap="flat" cmpd="sng" w="9525">
            <a:solidFill>
              <a:srgbClr val="4A7DBA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9.14"/>
    <col customWidth="1" min="3" max="15" width="10.71"/>
    <col customWidth="1" min="16" max="17" width="12.0"/>
    <col customWidth="1" min="18" max="21" width="10.71"/>
    <col customWidth="1" min="22" max="22" width="12.29"/>
    <col customWidth="1" min="23" max="26" width="10.43"/>
    <col customWidth="1" min="27" max="28" width="12.43"/>
    <col customWidth="1" min="29" max="33" width="10.71"/>
    <col customWidth="1" min="34" max="34" width="14.29"/>
  </cols>
  <sheetData>
    <row r="1" ht="14.25" customHeight="1">
      <c r="A1" s="1"/>
      <c r="M1" s="1" t="s">
        <v>0</v>
      </c>
      <c r="N1" s="1" t="s">
        <v>1</v>
      </c>
    </row>
    <row r="2" ht="14.25" customHeight="1">
      <c r="A2" s="1"/>
    </row>
    <row r="3" ht="14.25" customHeight="1">
      <c r="A3" s="1"/>
      <c r="E3" s="1" t="s">
        <v>2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4</v>
      </c>
      <c r="M3" s="1" t="s">
        <v>6</v>
      </c>
      <c r="N3" s="1" t="s">
        <v>7</v>
      </c>
      <c r="U3" s="1" t="s">
        <v>8</v>
      </c>
      <c r="V3" s="1" t="s">
        <v>9</v>
      </c>
      <c r="AA3" s="2" t="s">
        <v>10</v>
      </c>
    </row>
    <row r="4" ht="14.25" customHeight="1">
      <c r="A4" s="3" t="s">
        <v>11</v>
      </c>
      <c r="B4" s="4" t="s">
        <v>12</v>
      </c>
      <c r="C4" s="3" t="s">
        <v>13</v>
      </c>
      <c r="D4" s="3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5" t="s">
        <v>19</v>
      </c>
      <c r="J4" s="5" t="s">
        <v>20</v>
      </c>
      <c r="M4" s="6" t="s">
        <v>13</v>
      </c>
      <c r="N4" s="6" t="s">
        <v>14</v>
      </c>
      <c r="P4" s="6" t="s">
        <v>21</v>
      </c>
      <c r="Q4" s="6" t="s">
        <v>22</v>
      </c>
      <c r="U4" s="6" t="s">
        <v>21</v>
      </c>
      <c r="V4" s="6" t="s">
        <v>22</v>
      </c>
      <c r="W4" s="6" t="s">
        <v>23</v>
      </c>
      <c r="X4" s="6" t="s">
        <v>24</v>
      </c>
      <c r="Y4" s="6" t="s">
        <v>25</v>
      </c>
      <c r="AA4" s="7">
        <f>VLOOKUP($AA$3,'Coord-Recorrido'!$B:$D,2,0)</f>
        <v>384598.34</v>
      </c>
      <c r="AB4" s="7">
        <f>VLOOKUP($AA$3,'Coord-Recorrido'!$B:$D,3,0)</f>
        <v>7757756.43</v>
      </c>
      <c r="AC4" s="7"/>
      <c r="AH4" s="8" t="s">
        <v>26</v>
      </c>
    </row>
    <row r="5" ht="14.25" customHeight="1">
      <c r="A5" s="1">
        <v>25.0</v>
      </c>
      <c r="B5" s="8" t="s">
        <v>27</v>
      </c>
      <c r="AH5" s="8" t="s">
        <v>28</v>
      </c>
    </row>
    <row r="6" ht="14.25" customHeight="1">
      <c r="A6" s="1">
        <v>25.0</v>
      </c>
      <c r="B6" s="8" t="s">
        <v>27</v>
      </c>
      <c r="L6" s="8">
        <v>1.0</v>
      </c>
      <c r="M6" s="8">
        <v>-20.274376</v>
      </c>
      <c r="N6" s="8">
        <v>-70.105404</v>
      </c>
      <c r="P6" s="7">
        <v>384565.7</v>
      </c>
      <c r="Q6" s="7">
        <v>7757768.92</v>
      </c>
      <c r="R6" s="8">
        <v>1.0</v>
      </c>
      <c r="S6" s="8" t="s">
        <v>29</v>
      </c>
      <c r="T6" s="8" t="s">
        <v>30</v>
      </c>
      <c r="U6" s="7">
        <v>384605.0</v>
      </c>
      <c r="V6" s="7">
        <v>7757778.0</v>
      </c>
      <c r="W6" s="7">
        <v>341.0</v>
      </c>
      <c r="X6" s="7">
        <f t="shared" ref="X6:X9" si="1">W6/(2*PI())</f>
        <v>54.27183559</v>
      </c>
      <c r="Y6" s="7">
        <f t="shared" ref="Y6:Y9" si="2">POWER(X6,2)</f>
        <v>2945.432139</v>
      </c>
      <c r="AA6" s="7">
        <f t="shared" ref="AA6:AA16" si="3">POWER(AA$4-INDEX($U$6:$V$16,R6,1),2)+POWER(AB$4-INDEX($U$6:$V$16,R6,2),2)</f>
        <v>509.6205</v>
      </c>
      <c r="AB6" s="8" t="str">
        <f t="shared" ref="AB6:AB16" si="4">IF(AA6&lt;=Y6,S6,"")</f>
        <v>Sector 1</v>
      </c>
      <c r="AD6" s="7">
        <f>U7-$AA$4</f>
        <v>91.66</v>
      </c>
      <c r="AE6" s="8">
        <f t="shared" ref="AE6:AE7" si="5">POWER(AD6,2)</f>
        <v>8401.5556</v>
      </c>
      <c r="AH6" s="8" t="s">
        <v>31</v>
      </c>
    </row>
    <row r="7" ht="14.25" customHeight="1">
      <c r="A7" s="1">
        <v>25.0</v>
      </c>
      <c r="B7" s="8" t="s">
        <v>27</v>
      </c>
      <c r="L7" s="8">
        <v>2.0</v>
      </c>
      <c r="M7" s="8">
        <v>-20.274134</v>
      </c>
      <c r="N7" s="8">
        <v>-70.105118</v>
      </c>
      <c r="P7" s="7">
        <v>384593.69</v>
      </c>
      <c r="Q7" s="7">
        <v>7757801.33</v>
      </c>
      <c r="R7" s="8">
        <v>2.0</v>
      </c>
      <c r="S7" s="8" t="s">
        <v>29</v>
      </c>
      <c r="T7" s="8" t="s">
        <v>32</v>
      </c>
      <c r="U7" s="7">
        <v>384690.0</v>
      </c>
      <c r="V7" s="7">
        <v>7757803.0</v>
      </c>
      <c r="W7" s="7">
        <v>341.0</v>
      </c>
      <c r="X7" s="7">
        <f t="shared" si="1"/>
        <v>54.27183559</v>
      </c>
      <c r="Y7" s="7">
        <f t="shared" si="2"/>
        <v>2945.432139</v>
      </c>
      <c r="AA7" s="7">
        <f t="shared" si="3"/>
        <v>10570.3205</v>
      </c>
      <c r="AB7" s="8" t="str">
        <f t="shared" si="4"/>
        <v/>
      </c>
      <c r="AD7" s="7">
        <f>V7-$AB$4</f>
        <v>46.57</v>
      </c>
      <c r="AE7" s="8">
        <f t="shared" si="5"/>
        <v>2168.7649</v>
      </c>
      <c r="AH7" s="8" t="s">
        <v>33</v>
      </c>
    </row>
    <row r="8" ht="14.25" customHeight="1">
      <c r="A8" s="1">
        <v>25.0</v>
      </c>
      <c r="B8" s="8" t="s">
        <v>27</v>
      </c>
      <c r="L8" s="8">
        <v>3.0</v>
      </c>
      <c r="M8" s="8">
        <v>-20.273941</v>
      </c>
      <c r="N8" s="8">
        <v>-70.103906</v>
      </c>
      <c r="P8" s="7">
        <v>384719.19</v>
      </c>
      <c r="Q8" s="7">
        <v>7757820.0</v>
      </c>
      <c r="R8" s="8">
        <v>3.0</v>
      </c>
      <c r="S8" s="8" t="s">
        <v>29</v>
      </c>
      <c r="T8" s="8" t="s">
        <v>34</v>
      </c>
      <c r="U8" s="7">
        <v>384696.0</v>
      </c>
      <c r="V8" s="7">
        <v>7757746.0</v>
      </c>
      <c r="W8" s="7">
        <v>344.0</v>
      </c>
      <c r="X8" s="7">
        <f t="shared" si="1"/>
        <v>54.74930042</v>
      </c>
      <c r="Y8" s="7">
        <f t="shared" si="2"/>
        <v>2997.485897</v>
      </c>
      <c r="AA8" s="7">
        <f t="shared" si="3"/>
        <v>9646.2605</v>
      </c>
      <c r="AB8" s="8" t="str">
        <f t="shared" si="4"/>
        <v/>
      </c>
      <c r="AE8" s="8">
        <f>SUM(AE6:AE7)</f>
        <v>10570.3205</v>
      </c>
      <c r="AH8" s="8" t="s">
        <v>35</v>
      </c>
    </row>
    <row r="9" ht="14.25" customHeight="1">
      <c r="A9" s="1">
        <v>25.0</v>
      </c>
      <c r="B9" s="8" t="s">
        <v>27</v>
      </c>
      <c r="L9" s="8">
        <v>4.0</v>
      </c>
      <c r="M9" s="8">
        <v>-20.274849</v>
      </c>
      <c r="N9" s="8">
        <v>-70.103878</v>
      </c>
      <c r="P9" s="7">
        <v>384727.24</v>
      </c>
      <c r="Q9" s="7">
        <v>7757718.68</v>
      </c>
      <c r="R9" s="8">
        <v>4.0</v>
      </c>
      <c r="S9" s="8" t="s">
        <v>36</v>
      </c>
      <c r="T9" s="8" t="s">
        <v>37</v>
      </c>
      <c r="U9" s="7">
        <v>385023.59</v>
      </c>
      <c r="V9" s="7">
        <v>7757662.26</v>
      </c>
      <c r="W9" s="7">
        <v>382.67</v>
      </c>
      <c r="X9" s="7">
        <f t="shared" si="1"/>
        <v>60.90382207</v>
      </c>
      <c r="Y9" s="7">
        <f t="shared" si="2"/>
        <v>3709.275543</v>
      </c>
      <c r="AA9" s="7">
        <f t="shared" si="3"/>
        <v>189705.5514</v>
      </c>
      <c r="AB9" s="8" t="str">
        <f t="shared" si="4"/>
        <v/>
      </c>
    </row>
    <row r="10" ht="14.25" customHeight="1">
      <c r="A10" s="1">
        <v>25.0</v>
      </c>
      <c r="B10" s="8" t="s">
        <v>38</v>
      </c>
      <c r="R10" s="8">
        <v>5.0</v>
      </c>
      <c r="AA10" s="7">
        <f t="shared" si="3"/>
        <v>60330700710337</v>
      </c>
      <c r="AB10" s="8" t="str">
        <f t="shared" si="4"/>
        <v/>
      </c>
    </row>
    <row r="11" ht="14.25" customHeight="1">
      <c r="A11" s="1">
        <v>25.0</v>
      </c>
      <c r="B11" s="8" t="s">
        <v>38</v>
      </c>
      <c r="R11" s="8">
        <v>6.0</v>
      </c>
      <c r="AA11" s="7">
        <f t="shared" si="3"/>
        <v>60330700710337</v>
      </c>
      <c r="AB11" s="8" t="str">
        <f t="shared" si="4"/>
        <v/>
      </c>
    </row>
    <row r="12" ht="14.25" customHeight="1">
      <c r="A12" s="1">
        <v>25.0</v>
      </c>
      <c r="B12" s="8" t="s">
        <v>38</v>
      </c>
      <c r="M12" s="8" t="s">
        <v>39</v>
      </c>
      <c r="R12" s="8">
        <v>7.0</v>
      </c>
      <c r="AA12" s="7">
        <f t="shared" si="3"/>
        <v>60330700710337</v>
      </c>
      <c r="AB12" s="8" t="str">
        <f t="shared" si="4"/>
        <v/>
      </c>
    </row>
    <row r="13" ht="14.25" customHeight="1">
      <c r="A13" s="1">
        <v>25.0</v>
      </c>
      <c r="B13" s="8" t="s">
        <v>38</v>
      </c>
      <c r="L13" s="8" t="s">
        <v>27</v>
      </c>
      <c r="M13" s="8">
        <v>-20.274654</v>
      </c>
      <c r="N13" s="8">
        <v>-70.10458</v>
      </c>
      <c r="P13" s="8">
        <v>384672.52</v>
      </c>
      <c r="Q13" s="8">
        <v>7757744.91</v>
      </c>
      <c r="R13" s="8">
        <v>8.0</v>
      </c>
      <c r="AA13" s="7">
        <f t="shared" si="3"/>
        <v>60330700710337</v>
      </c>
      <c r="AB13" s="8" t="str">
        <f t="shared" si="4"/>
        <v/>
      </c>
    </row>
    <row r="14" ht="14.25" customHeight="1">
      <c r="A14" s="1">
        <v>25.0</v>
      </c>
      <c r="B14" s="8" t="s">
        <v>38</v>
      </c>
      <c r="L14" s="8" t="s">
        <v>38</v>
      </c>
      <c r="M14" s="8">
        <v>-20.274196</v>
      </c>
      <c r="N14" s="8">
        <v>-70.104288</v>
      </c>
      <c r="P14" s="8">
        <v>384685.07</v>
      </c>
      <c r="Q14" s="8">
        <v>7757795.56</v>
      </c>
      <c r="R14" s="8">
        <v>9.0</v>
      </c>
      <c r="AA14" s="7">
        <f t="shared" si="3"/>
        <v>60330700710337</v>
      </c>
      <c r="AB14" s="8" t="str">
        <f t="shared" si="4"/>
        <v/>
      </c>
    </row>
    <row r="15" ht="14.25" customHeight="1">
      <c r="A15" s="1"/>
      <c r="R15" s="8">
        <v>10.0</v>
      </c>
      <c r="AA15" s="7">
        <f t="shared" si="3"/>
        <v>60330700710337</v>
      </c>
      <c r="AB15" s="8" t="str">
        <f t="shared" si="4"/>
        <v/>
      </c>
    </row>
    <row r="16" ht="14.25" customHeight="1">
      <c r="A16" s="1"/>
      <c r="M16" s="8" t="s">
        <v>40</v>
      </c>
      <c r="R16" s="8">
        <v>11.0</v>
      </c>
      <c r="AA16" s="7">
        <f t="shared" si="3"/>
        <v>60330700710337</v>
      </c>
      <c r="AB16" s="8" t="str">
        <f t="shared" si="4"/>
        <v/>
      </c>
    </row>
    <row r="17" ht="14.25" customHeight="1">
      <c r="A17" s="1"/>
      <c r="L17" s="8" t="s">
        <v>41</v>
      </c>
      <c r="M17" s="8">
        <v>-20.273959</v>
      </c>
      <c r="N17" s="8">
        <v>-70.104364</v>
      </c>
      <c r="P17" s="8">
        <v>384658.19</v>
      </c>
      <c r="Q17" s="8">
        <v>7757821.65</v>
      </c>
    </row>
    <row r="18" ht="14.25" customHeight="1">
      <c r="A18" s="1"/>
      <c r="L18" s="8" t="s">
        <v>42</v>
      </c>
      <c r="M18" s="8">
        <v>-20.274881</v>
      </c>
      <c r="N18" s="8">
        <v>-70.1044</v>
      </c>
      <c r="P18" s="8">
        <v>384682.14</v>
      </c>
      <c r="Q18" s="8">
        <v>7757719.72</v>
      </c>
    </row>
    <row r="19" ht="14.25" customHeight="1">
      <c r="A19" s="1"/>
    </row>
    <row r="20" ht="14.25" customHeight="1">
      <c r="A20" s="1"/>
      <c r="U20" s="8" t="s">
        <v>43</v>
      </c>
      <c r="AF20" s="1"/>
      <c r="AG20" s="1"/>
      <c r="AH20" s="1"/>
    </row>
    <row r="21" ht="14.25" customHeight="1">
      <c r="A21" s="1"/>
      <c r="AF21" s="7"/>
      <c r="AG21" s="7"/>
      <c r="AH21" s="7"/>
    </row>
    <row r="22" ht="14.25" customHeight="1">
      <c r="A22" s="1"/>
      <c r="AF22" s="7"/>
      <c r="AG22" s="7"/>
      <c r="AH22" s="7"/>
    </row>
    <row r="23" ht="14.25" customHeight="1">
      <c r="A23" s="1"/>
      <c r="AF23" s="7"/>
      <c r="AG23" s="7"/>
      <c r="AH23" s="7"/>
    </row>
    <row r="24" ht="14.25" customHeight="1">
      <c r="A24" s="1"/>
      <c r="AF24" s="7"/>
      <c r="AG24" s="7"/>
      <c r="AH24" s="7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  <row r="101" ht="14.25" customHeight="1">
      <c r="A101" s="1"/>
    </row>
    <row r="102" ht="14.25" customHeight="1">
      <c r="A102" s="1"/>
    </row>
    <row r="103" ht="14.25" customHeight="1">
      <c r="A103" s="1"/>
    </row>
    <row r="104" ht="14.25" customHeight="1">
      <c r="A104" s="1"/>
    </row>
    <row r="105" ht="14.25" customHeight="1">
      <c r="A105" s="1"/>
    </row>
    <row r="106" ht="14.25" customHeight="1">
      <c r="A106" s="1"/>
    </row>
    <row r="107" ht="14.25" customHeight="1">
      <c r="A107" s="1"/>
    </row>
    <row r="108" ht="14.25" customHeight="1">
      <c r="A108" s="1"/>
    </row>
    <row r="109" ht="14.25" customHeight="1">
      <c r="A109" s="1"/>
    </row>
    <row r="110" ht="14.25" customHeight="1">
      <c r="A110" s="1"/>
    </row>
    <row r="111" ht="14.25" customHeight="1">
      <c r="A111" s="1"/>
    </row>
    <row r="112" ht="14.25" customHeight="1">
      <c r="A112" s="1"/>
    </row>
    <row r="113" ht="14.25" customHeight="1">
      <c r="A113" s="1"/>
    </row>
    <row r="114" ht="14.25" customHeight="1">
      <c r="A114" s="1"/>
    </row>
    <row r="115" ht="14.25" customHeight="1">
      <c r="A115" s="1"/>
    </row>
    <row r="116" ht="14.25" customHeight="1">
      <c r="A116" s="1"/>
    </row>
    <row r="117" ht="14.25" customHeight="1">
      <c r="A117" s="1"/>
    </row>
    <row r="118" ht="14.25" customHeight="1">
      <c r="A118" s="1"/>
    </row>
    <row r="119" ht="14.25" customHeight="1">
      <c r="A119" s="1"/>
    </row>
    <row r="120" ht="14.25" customHeight="1">
      <c r="A120" s="1"/>
    </row>
    <row r="121" ht="14.25" customHeight="1">
      <c r="A121" s="1"/>
    </row>
    <row r="122" ht="14.25" customHeight="1">
      <c r="A122" s="1"/>
    </row>
    <row r="123" ht="14.25" customHeight="1">
      <c r="A123" s="1"/>
    </row>
    <row r="124" ht="14.25" customHeight="1">
      <c r="A124" s="1"/>
    </row>
    <row r="125" ht="14.25" customHeight="1">
      <c r="A125" s="1"/>
    </row>
    <row r="126" ht="14.25" customHeight="1">
      <c r="A126" s="1"/>
    </row>
    <row r="127" ht="14.25" customHeight="1">
      <c r="A127" s="1"/>
    </row>
    <row r="128" ht="14.25" customHeight="1">
      <c r="A128" s="1"/>
    </row>
    <row r="129" ht="14.25" customHeight="1">
      <c r="A129" s="1"/>
    </row>
    <row r="130" ht="14.25" customHeight="1">
      <c r="A130" s="1"/>
    </row>
    <row r="131" ht="14.25" customHeight="1">
      <c r="A131" s="1"/>
    </row>
    <row r="132" ht="14.25" customHeight="1">
      <c r="A132" s="1"/>
    </row>
    <row r="133" ht="14.25" customHeight="1">
      <c r="A133" s="1"/>
    </row>
    <row r="134" ht="14.25" customHeight="1">
      <c r="A134" s="1"/>
    </row>
    <row r="135" ht="14.25" customHeight="1">
      <c r="A135" s="1"/>
    </row>
    <row r="136" ht="14.25" customHeight="1">
      <c r="A136" s="1"/>
    </row>
    <row r="137" ht="14.25" customHeight="1">
      <c r="A137" s="1"/>
    </row>
    <row r="138" ht="14.25" customHeight="1">
      <c r="A138" s="1"/>
    </row>
    <row r="139" ht="14.25" customHeight="1">
      <c r="A139" s="1"/>
    </row>
    <row r="140" ht="14.25" customHeight="1">
      <c r="A140" s="1"/>
    </row>
    <row r="141" ht="14.25" customHeight="1">
      <c r="A141" s="1"/>
    </row>
    <row r="142" ht="14.25" customHeight="1">
      <c r="A142" s="1"/>
    </row>
    <row r="143" ht="14.25" customHeight="1">
      <c r="A143" s="1"/>
    </row>
    <row r="144" ht="14.25" customHeight="1">
      <c r="A144" s="1"/>
    </row>
    <row r="145" ht="14.25" customHeight="1">
      <c r="A145" s="1"/>
    </row>
    <row r="146" ht="14.25" customHeight="1">
      <c r="A146" s="1"/>
    </row>
    <row r="147" ht="14.25" customHeight="1">
      <c r="A147" s="1"/>
    </row>
    <row r="148" ht="14.25" customHeight="1">
      <c r="A148" s="1"/>
    </row>
    <row r="149" ht="14.25" customHeight="1">
      <c r="A149" s="1"/>
    </row>
    <row r="150" ht="14.25" customHeight="1">
      <c r="A150" s="1"/>
    </row>
    <row r="151" ht="14.25" customHeight="1">
      <c r="A151" s="1"/>
    </row>
    <row r="152" ht="14.25" customHeight="1">
      <c r="A152" s="1"/>
    </row>
    <row r="153" ht="14.25" customHeight="1">
      <c r="A153" s="1"/>
    </row>
    <row r="154" ht="14.25" customHeight="1">
      <c r="A154" s="1"/>
    </row>
    <row r="155" ht="14.25" customHeight="1">
      <c r="A155" s="1"/>
    </row>
    <row r="156" ht="14.25" customHeight="1">
      <c r="A156" s="1"/>
    </row>
    <row r="157" ht="14.25" customHeight="1">
      <c r="A157" s="1"/>
    </row>
    <row r="158" ht="14.25" customHeight="1">
      <c r="A158" s="1"/>
    </row>
    <row r="159" ht="14.25" customHeight="1">
      <c r="A159" s="1"/>
    </row>
    <row r="160" ht="14.25" customHeight="1">
      <c r="A160" s="1"/>
    </row>
    <row r="161" ht="14.25" customHeight="1">
      <c r="A161" s="1"/>
    </row>
    <row r="162" ht="14.25" customHeight="1">
      <c r="A162" s="1"/>
    </row>
    <row r="163" ht="14.25" customHeight="1">
      <c r="A163" s="1"/>
    </row>
    <row r="164" ht="14.25" customHeight="1">
      <c r="A164" s="1"/>
    </row>
    <row r="165" ht="14.25" customHeight="1">
      <c r="A165" s="1"/>
    </row>
    <row r="166" ht="14.25" customHeight="1">
      <c r="A166" s="1"/>
    </row>
    <row r="167" ht="14.25" customHeight="1">
      <c r="A167" s="1"/>
    </row>
    <row r="168" ht="14.25" customHeight="1">
      <c r="A168" s="1"/>
    </row>
    <row r="169" ht="14.25" customHeight="1">
      <c r="A169" s="1"/>
    </row>
    <row r="170" ht="14.25" customHeight="1">
      <c r="A170" s="1"/>
    </row>
    <row r="171" ht="14.25" customHeight="1">
      <c r="A171" s="1"/>
    </row>
    <row r="172" ht="14.25" customHeight="1">
      <c r="A172" s="1"/>
    </row>
    <row r="173" ht="14.25" customHeight="1">
      <c r="A173" s="1"/>
    </row>
    <row r="174" ht="14.25" customHeight="1">
      <c r="A174" s="1"/>
    </row>
    <row r="175" ht="14.25" customHeight="1">
      <c r="A175" s="1"/>
    </row>
    <row r="176" ht="14.25" customHeight="1">
      <c r="A176" s="1"/>
    </row>
    <row r="177" ht="14.25" customHeight="1">
      <c r="A177" s="1"/>
    </row>
    <row r="178" ht="14.25" customHeight="1">
      <c r="A178" s="1"/>
    </row>
    <row r="179" ht="14.25" customHeight="1">
      <c r="A179" s="1"/>
    </row>
    <row r="180" ht="14.25" customHeight="1">
      <c r="A180" s="1"/>
    </row>
    <row r="181" ht="14.25" customHeight="1">
      <c r="A181" s="1"/>
    </row>
    <row r="182" ht="14.25" customHeight="1">
      <c r="A182" s="1"/>
    </row>
    <row r="183" ht="14.25" customHeight="1">
      <c r="A183" s="1"/>
    </row>
    <row r="184" ht="14.25" customHeight="1">
      <c r="A184" s="1"/>
    </row>
    <row r="185" ht="14.25" customHeight="1">
      <c r="A185" s="1"/>
    </row>
    <row r="186" ht="14.25" customHeight="1">
      <c r="A186" s="1"/>
    </row>
    <row r="187" ht="14.25" customHeight="1">
      <c r="A187" s="1"/>
    </row>
    <row r="188" ht="14.25" customHeight="1">
      <c r="A188" s="1"/>
    </row>
    <row r="189" ht="14.25" customHeight="1">
      <c r="A189" s="1"/>
    </row>
    <row r="190" ht="14.25" customHeight="1">
      <c r="A190" s="1"/>
    </row>
    <row r="191" ht="14.25" customHeight="1">
      <c r="A191" s="1"/>
    </row>
    <row r="192" ht="14.25" customHeight="1">
      <c r="A192" s="1"/>
    </row>
    <row r="193" ht="14.25" customHeight="1">
      <c r="A193" s="1"/>
    </row>
    <row r="194" ht="14.25" customHeight="1">
      <c r="A194" s="1"/>
    </row>
    <row r="195" ht="14.25" customHeight="1">
      <c r="A195" s="1"/>
    </row>
    <row r="196" ht="14.25" customHeight="1">
      <c r="A196" s="1"/>
    </row>
    <row r="197" ht="14.25" customHeight="1">
      <c r="A197" s="1"/>
    </row>
    <row r="198" ht="14.25" customHeight="1">
      <c r="A198" s="1"/>
    </row>
    <row r="199" ht="14.25" customHeight="1">
      <c r="A199" s="1"/>
    </row>
    <row r="200" ht="14.25" customHeight="1">
      <c r="A200" s="1"/>
    </row>
    <row r="201" ht="14.25" customHeight="1">
      <c r="A201" s="1"/>
    </row>
    <row r="202" ht="14.25" customHeight="1">
      <c r="A202" s="1"/>
    </row>
    <row r="203" ht="14.25" customHeight="1">
      <c r="A203" s="1"/>
    </row>
    <row r="204" ht="14.25" customHeight="1">
      <c r="A204" s="1"/>
    </row>
    <row r="205" ht="14.25" customHeight="1">
      <c r="A205" s="1"/>
    </row>
    <row r="206" ht="14.25" customHeight="1">
      <c r="A206" s="1"/>
    </row>
    <row r="207" ht="14.25" customHeight="1">
      <c r="A207" s="1"/>
    </row>
    <row r="208" ht="14.25" customHeight="1">
      <c r="A208" s="1"/>
    </row>
    <row r="209" ht="14.25" customHeight="1">
      <c r="A209" s="1"/>
    </row>
    <row r="210" ht="14.25" customHeight="1">
      <c r="A210" s="1"/>
    </row>
    <row r="211" ht="14.25" customHeight="1">
      <c r="A211" s="1"/>
    </row>
    <row r="212" ht="14.25" customHeight="1">
      <c r="A212" s="1"/>
    </row>
    <row r="213" ht="14.25" customHeight="1">
      <c r="A213" s="1"/>
    </row>
    <row r="214" ht="14.25" customHeight="1">
      <c r="A214" s="1"/>
    </row>
    <row r="215" ht="14.25" customHeight="1">
      <c r="A215" s="1"/>
    </row>
    <row r="216" ht="14.25" customHeight="1">
      <c r="A216" s="1"/>
    </row>
    <row r="217" ht="14.25" customHeight="1">
      <c r="A217" s="1"/>
    </row>
    <row r="218" ht="14.25" customHeight="1">
      <c r="A218" s="1"/>
    </row>
    <row r="219" ht="14.25" customHeight="1">
      <c r="A219" s="1"/>
    </row>
    <row r="220" ht="14.25" customHeight="1">
      <c r="A220" s="1"/>
    </row>
    <row r="221" ht="14.25" customHeight="1">
      <c r="A221" s="1"/>
    </row>
    <row r="222" ht="14.25" customHeight="1">
      <c r="A222" s="1"/>
    </row>
    <row r="223" ht="14.25" customHeight="1">
      <c r="A223" s="1"/>
    </row>
    <row r="224" ht="14.25" customHeight="1">
      <c r="A224" s="1"/>
    </row>
    <row r="225" ht="14.25" customHeight="1">
      <c r="A225" s="1"/>
    </row>
    <row r="226" ht="14.25" customHeight="1">
      <c r="A226" s="1"/>
    </row>
    <row r="227" ht="14.25" customHeight="1">
      <c r="A227" s="1"/>
    </row>
    <row r="228" ht="14.25" customHeight="1">
      <c r="A228" s="1"/>
    </row>
    <row r="229" ht="14.25" customHeight="1">
      <c r="A229" s="1"/>
    </row>
    <row r="230" ht="14.25" customHeight="1">
      <c r="A230" s="1"/>
    </row>
    <row r="231" ht="14.25" customHeight="1">
      <c r="A231" s="1"/>
    </row>
    <row r="232" ht="14.25" customHeight="1">
      <c r="A232" s="1"/>
    </row>
    <row r="233" ht="14.25" customHeight="1">
      <c r="A233" s="1"/>
    </row>
    <row r="234" ht="14.25" customHeight="1">
      <c r="A234" s="1"/>
    </row>
    <row r="235" ht="14.25" customHeight="1">
      <c r="A235" s="1"/>
    </row>
    <row r="236" ht="14.25" customHeight="1">
      <c r="A236" s="1"/>
    </row>
    <row r="237" ht="14.25" customHeight="1">
      <c r="A237" s="1"/>
    </row>
    <row r="238" ht="14.25" customHeight="1">
      <c r="A238" s="1"/>
    </row>
    <row r="239" ht="14.25" customHeight="1">
      <c r="A239" s="1"/>
    </row>
    <row r="240" ht="14.25" customHeight="1">
      <c r="A240" s="1"/>
    </row>
    <row r="241" ht="14.25" customHeight="1">
      <c r="A241" s="1"/>
    </row>
    <row r="242" ht="14.25" customHeight="1">
      <c r="A242" s="1"/>
    </row>
    <row r="243" ht="14.25" customHeight="1">
      <c r="A243" s="1"/>
    </row>
    <row r="244" ht="14.25" customHeight="1">
      <c r="A244" s="1"/>
    </row>
    <row r="245" ht="14.25" customHeight="1">
      <c r="A245" s="1"/>
    </row>
    <row r="246" ht="14.25" customHeight="1">
      <c r="A246" s="1"/>
    </row>
    <row r="247" ht="14.25" customHeight="1">
      <c r="A247" s="1"/>
    </row>
    <row r="248" ht="14.25" customHeight="1">
      <c r="A248" s="1"/>
    </row>
    <row r="249" ht="14.25" customHeight="1">
      <c r="A249" s="1"/>
    </row>
    <row r="250" ht="14.25" customHeight="1">
      <c r="A250" s="1"/>
    </row>
    <row r="251" ht="14.25" customHeight="1">
      <c r="A251" s="1"/>
    </row>
    <row r="252" ht="14.25" customHeight="1">
      <c r="A252" s="1"/>
    </row>
    <row r="253" ht="14.25" customHeight="1">
      <c r="A253" s="1"/>
    </row>
    <row r="254" ht="14.25" customHeight="1">
      <c r="A254" s="1"/>
    </row>
    <row r="255" ht="14.25" customHeight="1">
      <c r="A255" s="1"/>
    </row>
    <row r="256" ht="14.25" customHeight="1">
      <c r="A256" s="1"/>
    </row>
    <row r="257" ht="14.25" customHeight="1">
      <c r="A257" s="1"/>
    </row>
    <row r="258" ht="14.25" customHeight="1">
      <c r="A258" s="1"/>
    </row>
    <row r="259" ht="14.25" customHeight="1">
      <c r="A259" s="1"/>
    </row>
    <row r="260" ht="14.25" customHeight="1">
      <c r="A260" s="1"/>
    </row>
    <row r="261" ht="14.25" customHeight="1">
      <c r="A261" s="1"/>
    </row>
    <row r="262" ht="14.25" customHeight="1">
      <c r="A262" s="1"/>
    </row>
    <row r="263" ht="14.25" customHeight="1">
      <c r="A263" s="1"/>
    </row>
    <row r="264" ht="14.25" customHeight="1">
      <c r="A264" s="1"/>
    </row>
    <row r="265" ht="14.25" customHeight="1">
      <c r="A265" s="1"/>
    </row>
    <row r="266" ht="14.25" customHeight="1">
      <c r="A266" s="1"/>
    </row>
    <row r="267" ht="14.25" customHeight="1">
      <c r="A267" s="1"/>
    </row>
    <row r="268" ht="14.25" customHeight="1">
      <c r="A268" s="1"/>
    </row>
    <row r="269" ht="14.25" customHeight="1">
      <c r="A269" s="1"/>
    </row>
    <row r="270" ht="14.25" customHeight="1">
      <c r="A270" s="1"/>
    </row>
    <row r="271" ht="14.25" customHeight="1">
      <c r="A271" s="1"/>
    </row>
    <row r="272" ht="14.25" customHeight="1">
      <c r="A272" s="1"/>
    </row>
    <row r="273" ht="14.25" customHeight="1">
      <c r="A273" s="1"/>
    </row>
    <row r="274" ht="14.25" customHeight="1">
      <c r="A274" s="1"/>
    </row>
    <row r="275" ht="14.25" customHeight="1">
      <c r="A275" s="1"/>
    </row>
    <row r="276" ht="14.25" customHeight="1">
      <c r="A276" s="1"/>
    </row>
    <row r="277" ht="14.25" customHeight="1">
      <c r="A277" s="1"/>
    </row>
    <row r="278" ht="14.25" customHeight="1">
      <c r="A278" s="1"/>
    </row>
    <row r="279" ht="14.25" customHeight="1">
      <c r="A279" s="1"/>
    </row>
    <row r="280" ht="14.25" customHeight="1">
      <c r="A280" s="1"/>
    </row>
    <row r="281" ht="14.25" customHeight="1">
      <c r="A281" s="1"/>
    </row>
    <row r="282" ht="14.25" customHeight="1">
      <c r="A282" s="1"/>
    </row>
    <row r="283" ht="14.25" customHeight="1">
      <c r="A283" s="1"/>
    </row>
    <row r="284" ht="14.25" customHeight="1">
      <c r="A284" s="1"/>
    </row>
    <row r="285" ht="14.25" customHeight="1">
      <c r="A285" s="1"/>
    </row>
    <row r="286" ht="14.25" customHeight="1">
      <c r="A286" s="1"/>
    </row>
    <row r="287" ht="14.25" customHeight="1">
      <c r="A287" s="1"/>
    </row>
    <row r="288" ht="14.25" customHeight="1">
      <c r="A288" s="1"/>
    </row>
    <row r="289" ht="14.25" customHeight="1">
      <c r="A289" s="1"/>
    </row>
    <row r="290" ht="14.25" customHeight="1">
      <c r="A290" s="1"/>
    </row>
    <row r="291" ht="14.25" customHeight="1">
      <c r="A291" s="1"/>
    </row>
    <row r="292" ht="14.25" customHeight="1">
      <c r="A292" s="1"/>
    </row>
    <row r="293" ht="14.25" customHeight="1">
      <c r="A293" s="1"/>
    </row>
    <row r="294" ht="14.25" customHeight="1">
      <c r="A294" s="1"/>
    </row>
    <row r="295" ht="14.25" customHeight="1">
      <c r="A295" s="1"/>
    </row>
    <row r="296" ht="14.25" customHeight="1">
      <c r="A296" s="1"/>
    </row>
    <row r="297" ht="14.25" customHeight="1">
      <c r="A297" s="1"/>
    </row>
    <row r="298" ht="14.25" customHeight="1">
      <c r="A298" s="1"/>
    </row>
    <row r="299" ht="14.25" customHeight="1">
      <c r="A299" s="1"/>
    </row>
    <row r="300" ht="14.25" customHeight="1">
      <c r="A300" s="1"/>
    </row>
    <row r="301" ht="14.25" customHeight="1">
      <c r="A301" s="1"/>
    </row>
    <row r="302" ht="14.25" customHeight="1">
      <c r="A302" s="1"/>
    </row>
    <row r="303" ht="14.25" customHeight="1">
      <c r="A303" s="1"/>
    </row>
    <row r="304" ht="14.25" customHeight="1">
      <c r="A304" s="1"/>
    </row>
    <row r="305" ht="14.25" customHeight="1">
      <c r="A305" s="1"/>
    </row>
    <row r="306" ht="14.25" customHeight="1">
      <c r="A306" s="1"/>
    </row>
    <row r="307" ht="14.25" customHeight="1">
      <c r="A307" s="1"/>
    </row>
    <row r="308" ht="14.25" customHeight="1">
      <c r="A308" s="1"/>
    </row>
    <row r="309" ht="14.25" customHeight="1">
      <c r="A309" s="1"/>
    </row>
    <row r="310" ht="14.25" customHeight="1">
      <c r="A310" s="1"/>
    </row>
    <row r="311" ht="14.25" customHeight="1">
      <c r="A311" s="1"/>
    </row>
    <row r="312" ht="14.25" customHeight="1">
      <c r="A312" s="1"/>
    </row>
    <row r="313" ht="14.25" customHeight="1">
      <c r="A313" s="1"/>
    </row>
    <row r="314" ht="14.25" customHeight="1">
      <c r="A314" s="1"/>
    </row>
    <row r="315" ht="14.25" customHeight="1">
      <c r="A315" s="1"/>
    </row>
    <row r="316" ht="14.25" customHeight="1">
      <c r="A316" s="1"/>
    </row>
    <row r="317" ht="14.25" customHeight="1">
      <c r="A317" s="1"/>
    </row>
    <row r="318" ht="14.25" customHeight="1">
      <c r="A318" s="1"/>
    </row>
    <row r="319" ht="14.25" customHeight="1">
      <c r="A319" s="1"/>
    </row>
    <row r="320" ht="14.25" customHeight="1">
      <c r="A320" s="1"/>
    </row>
    <row r="321" ht="14.25" customHeight="1">
      <c r="A321" s="1"/>
    </row>
    <row r="322" ht="14.25" customHeight="1">
      <c r="A322" s="1"/>
    </row>
    <row r="323" ht="14.25" customHeight="1">
      <c r="A323" s="1"/>
    </row>
    <row r="324" ht="14.25" customHeight="1">
      <c r="A324" s="1"/>
    </row>
    <row r="325" ht="14.25" customHeight="1">
      <c r="A325" s="1"/>
    </row>
    <row r="326" ht="14.25" customHeight="1">
      <c r="A326" s="1"/>
    </row>
    <row r="327" ht="14.25" customHeight="1">
      <c r="A327" s="1"/>
    </row>
    <row r="328" ht="14.25" customHeight="1">
      <c r="A328" s="1"/>
    </row>
    <row r="329" ht="14.25" customHeight="1">
      <c r="A329" s="1"/>
    </row>
    <row r="330" ht="14.25" customHeight="1">
      <c r="A330" s="1"/>
    </row>
    <row r="331" ht="14.25" customHeight="1">
      <c r="A331" s="1"/>
    </row>
    <row r="332" ht="14.25" customHeight="1">
      <c r="A332" s="1"/>
    </row>
    <row r="333" ht="14.25" customHeight="1">
      <c r="A333" s="1"/>
    </row>
    <row r="334" ht="14.25" customHeight="1">
      <c r="A334" s="1"/>
    </row>
    <row r="335" ht="14.25" customHeight="1">
      <c r="A335" s="1"/>
    </row>
    <row r="336" ht="14.25" customHeight="1">
      <c r="A336" s="1"/>
    </row>
    <row r="337" ht="14.25" customHeight="1">
      <c r="A337" s="1"/>
    </row>
    <row r="338" ht="14.25" customHeight="1">
      <c r="A338" s="1"/>
    </row>
    <row r="339" ht="14.25" customHeight="1">
      <c r="A339" s="1"/>
    </row>
    <row r="340" ht="14.25" customHeight="1">
      <c r="A340" s="1"/>
    </row>
    <row r="341" ht="14.25" customHeight="1">
      <c r="A341" s="1"/>
    </row>
    <row r="342" ht="14.25" customHeight="1">
      <c r="A342" s="1"/>
    </row>
    <row r="343" ht="14.25" customHeight="1">
      <c r="A343" s="1"/>
    </row>
    <row r="344" ht="14.25" customHeight="1">
      <c r="A344" s="1"/>
    </row>
    <row r="345" ht="14.25" customHeight="1">
      <c r="A345" s="1"/>
    </row>
    <row r="346" ht="14.25" customHeight="1">
      <c r="A346" s="1"/>
    </row>
    <row r="347" ht="14.25" customHeight="1">
      <c r="A347" s="1"/>
    </row>
    <row r="348" ht="14.25" customHeight="1">
      <c r="A348" s="1"/>
    </row>
    <row r="349" ht="14.25" customHeight="1">
      <c r="A349" s="1"/>
    </row>
    <row r="350" ht="14.25" customHeight="1">
      <c r="A350" s="1"/>
    </row>
    <row r="351" ht="14.25" customHeight="1">
      <c r="A351" s="1"/>
    </row>
    <row r="352" ht="14.25" customHeight="1">
      <c r="A352" s="1"/>
    </row>
    <row r="353" ht="14.25" customHeight="1">
      <c r="A353" s="1"/>
    </row>
    <row r="354" ht="14.25" customHeight="1">
      <c r="A354" s="1"/>
    </row>
    <row r="355" ht="14.25" customHeight="1">
      <c r="A355" s="1"/>
    </row>
    <row r="356" ht="14.25" customHeight="1">
      <c r="A356" s="1"/>
    </row>
    <row r="357" ht="14.25" customHeight="1">
      <c r="A357" s="1"/>
    </row>
    <row r="358" ht="14.25" customHeight="1">
      <c r="A358" s="1"/>
    </row>
    <row r="359" ht="14.25" customHeight="1">
      <c r="A359" s="1"/>
    </row>
    <row r="360" ht="14.25" customHeight="1">
      <c r="A360" s="1"/>
    </row>
    <row r="361" ht="14.25" customHeight="1">
      <c r="A361" s="1"/>
    </row>
    <row r="362" ht="14.25" customHeight="1">
      <c r="A362" s="1"/>
    </row>
    <row r="363" ht="14.25" customHeight="1">
      <c r="A363" s="1"/>
    </row>
    <row r="364" ht="14.25" customHeight="1">
      <c r="A364" s="1"/>
    </row>
    <row r="365" ht="14.25" customHeight="1">
      <c r="A365" s="1"/>
    </row>
    <row r="366" ht="14.25" customHeight="1">
      <c r="A366" s="1"/>
    </row>
    <row r="367" ht="14.25" customHeight="1">
      <c r="A367" s="1"/>
    </row>
    <row r="368" ht="14.25" customHeight="1">
      <c r="A368" s="1"/>
    </row>
    <row r="369" ht="14.25" customHeight="1">
      <c r="A369" s="1"/>
    </row>
    <row r="370" ht="14.25" customHeight="1">
      <c r="A370" s="1"/>
    </row>
    <row r="371" ht="14.25" customHeight="1">
      <c r="A371" s="1"/>
    </row>
    <row r="372" ht="14.25" customHeight="1">
      <c r="A372" s="1"/>
    </row>
    <row r="373" ht="14.25" customHeight="1">
      <c r="A373" s="1"/>
    </row>
    <row r="374" ht="14.25" customHeight="1">
      <c r="A374" s="1"/>
    </row>
    <row r="375" ht="14.25" customHeight="1">
      <c r="A375" s="1"/>
    </row>
    <row r="376" ht="14.25" customHeight="1">
      <c r="A376" s="1"/>
    </row>
    <row r="377" ht="14.25" customHeight="1">
      <c r="A377" s="1"/>
    </row>
    <row r="378" ht="14.25" customHeight="1">
      <c r="A378" s="1"/>
    </row>
    <row r="379" ht="14.25" customHeight="1">
      <c r="A379" s="1"/>
    </row>
    <row r="380" ht="14.25" customHeight="1">
      <c r="A380" s="1"/>
    </row>
    <row r="381" ht="14.25" customHeight="1">
      <c r="A381" s="1"/>
    </row>
    <row r="382" ht="14.25" customHeight="1">
      <c r="A382" s="1"/>
    </row>
    <row r="383" ht="14.25" customHeight="1">
      <c r="A383" s="1"/>
    </row>
    <row r="384" ht="14.25" customHeight="1">
      <c r="A384" s="1"/>
    </row>
    <row r="385" ht="14.25" customHeight="1">
      <c r="A385" s="1"/>
    </row>
    <row r="386" ht="14.25" customHeight="1">
      <c r="A386" s="1"/>
    </row>
    <row r="387" ht="14.25" customHeight="1">
      <c r="A387" s="1"/>
    </row>
    <row r="388" ht="14.25" customHeight="1">
      <c r="A388" s="1"/>
    </row>
    <row r="389" ht="14.25" customHeight="1">
      <c r="A389" s="1"/>
    </row>
    <row r="390" ht="14.25" customHeight="1">
      <c r="A390" s="1"/>
    </row>
    <row r="391" ht="14.25" customHeight="1">
      <c r="A391" s="1"/>
    </row>
    <row r="392" ht="14.25" customHeight="1">
      <c r="A392" s="1"/>
    </row>
    <row r="393" ht="14.25" customHeight="1">
      <c r="A393" s="1"/>
    </row>
    <row r="394" ht="14.25" customHeight="1">
      <c r="A394" s="1"/>
    </row>
    <row r="395" ht="14.25" customHeight="1">
      <c r="A395" s="1"/>
    </row>
    <row r="396" ht="14.25" customHeight="1">
      <c r="A396" s="1"/>
    </row>
    <row r="397" ht="14.25" customHeight="1">
      <c r="A397" s="1"/>
    </row>
    <row r="398" ht="14.25" customHeight="1">
      <c r="A398" s="1"/>
    </row>
    <row r="399" ht="14.25" customHeight="1">
      <c r="A399" s="1"/>
    </row>
    <row r="400" ht="14.25" customHeight="1">
      <c r="A400" s="1"/>
    </row>
    <row r="401" ht="14.25" customHeight="1">
      <c r="A401" s="1"/>
    </row>
    <row r="402" ht="14.25" customHeight="1">
      <c r="A402" s="1"/>
    </row>
    <row r="403" ht="14.25" customHeight="1">
      <c r="A403" s="1"/>
    </row>
    <row r="404" ht="14.25" customHeight="1">
      <c r="A404" s="1"/>
    </row>
    <row r="405" ht="14.25" customHeight="1">
      <c r="A405" s="1"/>
    </row>
    <row r="406" ht="14.25" customHeight="1">
      <c r="A406" s="1"/>
    </row>
    <row r="407" ht="14.25" customHeight="1">
      <c r="A407" s="1"/>
    </row>
    <row r="408" ht="14.25" customHeight="1">
      <c r="A408" s="1"/>
    </row>
    <row r="409" ht="14.25" customHeight="1">
      <c r="A409" s="1"/>
    </row>
    <row r="410" ht="14.25" customHeight="1">
      <c r="A410" s="1"/>
    </row>
    <row r="411" ht="14.25" customHeight="1">
      <c r="A411" s="1"/>
    </row>
    <row r="412" ht="14.25" customHeight="1">
      <c r="A412" s="1"/>
    </row>
    <row r="413" ht="14.25" customHeight="1">
      <c r="A413" s="1"/>
    </row>
    <row r="414" ht="14.25" customHeight="1">
      <c r="A414" s="1"/>
    </row>
    <row r="415" ht="14.25" customHeight="1">
      <c r="A415" s="1"/>
    </row>
    <row r="416" ht="14.25" customHeight="1">
      <c r="A416" s="1"/>
    </row>
    <row r="417" ht="14.25" customHeight="1">
      <c r="A417" s="1"/>
    </row>
    <row r="418" ht="14.25" customHeight="1">
      <c r="A418" s="1"/>
    </row>
    <row r="419" ht="14.25" customHeight="1">
      <c r="A419" s="1"/>
    </row>
    <row r="420" ht="14.25" customHeight="1">
      <c r="A420" s="1"/>
    </row>
    <row r="421" ht="14.25" customHeight="1">
      <c r="A421" s="1"/>
    </row>
    <row r="422" ht="14.25" customHeight="1">
      <c r="A422" s="1"/>
    </row>
    <row r="423" ht="14.25" customHeight="1">
      <c r="A423" s="1"/>
    </row>
    <row r="424" ht="14.25" customHeight="1">
      <c r="A424" s="1"/>
    </row>
    <row r="425" ht="14.25" customHeight="1">
      <c r="A425" s="1"/>
    </row>
    <row r="426" ht="14.25" customHeight="1">
      <c r="A426" s="1"/>
    </row>
    <row r="427" ht="14.25" customHeight="1">
      <c r="A427" s="1"/>
    </row>
    <row r="428" ht="14.25" customHeight="1">
      <c r="A428" s="1"/>
    </row>
    <row r="429" ht="14.25" customHeight="1">
      <c r="A429" s="1"/>
    </row>
    <row r="430" ht="14.25" customHeight="1">
      <c r="A430" s="1"/>
    </row>
    <row r="431" ht="14.25" customHeight="1">
      <c r="A431" s="1"/>
    </row>
    <row r="432" ht="14.25" customHeight="1">
      <c r="A432" s="1"/>
    </row>
    <row r="433" ht="14.25" customHeight="1">
      <c r="A433" s="1"/>
    </row>
    <row r="434" ht="14.25" customHeight="1">
      <c r="A434" s="1"/>
    </row>
    <row r="435" ht="14.25" customHeight="1">
      <c r="A435" s="1"/>
    </row>
    <row r="436" ht="14.25" customHeight="1">
      <c r="A436" s="1"/>
    </row>
    <row r="437" ht="14.25" customHeight="1">
      <c r="A437" s="1"/>
    </row>
    <row r="438" ht="14.25" customHeight="1">
      <c r="A438" s="1"/>
    </row>
    <row r="439" ht="14.25" customHeight="1">
      <c r="A439" s="1"/>
    </row>
    <row r="440" ht="14.25" customHeight="1">
      <c r="A440" s="1"/>
    </row>
    <row r="441" ht="14.25" customHeight="1">
      <c r="A441" s="1"/>
    </row>
    <row r="442" ht="14.25" customHeight="1">
      <c r="A442" s="1"/>
    </row>
    <row r="443" ht="14.25" customHeight="1">
      <c r="A443" s="1"/>
    </row>
    <row r="444" ht="14.25" customHeight="1">
      <c r="A444" s="1"/>
    </row>
    <row r="445" ht="14.25" customHeight="1">
      <c r="A445" s="1"/>
    </row>
    <row r="446" ht="14.25" customHeight="1">
      <c r="A446" s="1"/>
    </row>
    <row r="447" ht="14.25" customHeight="1">
      <c r="A447" s="1"/>
    </row>
    <row r="448" ht="14.25" customHeight="1">
      <c r="A448" s="1"/>
    </row>
    <row r="449" ht="14.25" customHeight="1">
      <c r="A449" s="1"/>
    </row>
    <row r="450" ht="14.25" customHeight="1">
      <c r="A450" s="1"/>
    </row>
    <row r="451" ht="14.25" customHeight="1">
      <c r="A451" s="1"/>
    </row>
    <row r="452" ht="14.25" customHeight="1">
      <c r="A452" s="1"/>
    </row>
    <row r="453" ht="14.25" customHeight="1">
      <c r="A453" s="1"/>
    </row>
    <row r="454" ht="14.25" customHeight="1">
      <c r="A454" s="1"/>
    </row>
    <row r="455" ht="14.25" customHeight="1">
      <c r="A455" s="1"/>
    </row>
    <row r="456" ht="14.25" customHeight="1">
      <c r="A456" s="1"/>
    </row>
    <row r="457" ht="14.25" customHeight="1">
      <c r="A457" s="1"/>
    </row>
    <row r="458" ht="14.25" customHeight="1">
      <c r="A458" s="1"/>
    </row>
    <row r="459" ht="14.25" customHeight="1">
      <c r="A459" s="1"/>
    </row>
    <row r="460" ht="14.25" customHeight="1">
      <c r="A460" s="1"/>
    </row>
    <row r="461" ht="14.25" customHeight="1">
      <c r="A461" s="1"/>
    </row>
    <row r="462" ht="14.25" customHeight="1">
      <c r="A462" s="1"/>
    </row>
    <row r="463" ht="14.25" customHeight="1">
      <c r="A463" s="1"/>
    </row>
    <row r="464" ht="14.25" customHeight="1">
      <c r="A464" s="1"/>
    </row>
    <row r="465" ht="14.25" customHeight="1">
      <c r="A465" s="1"/>
    </row>
    <row r="466" ht="14.25" customHeight="1">
      <c r="A466" s="1"/>
    </row>
    <row r="467" ht="14.25" customHeight="1">
      <c r="A467" s="1"/>
    </row>
    <row r="468" ht="14.25" customHeight="1">
      <c r="A468" s="1"/>
    </row>
    <row r="469" ht="14.25" customHeight="1">
      <c r="A469" s="1"/>
    </row>
    <row r="470" ht="14.25" customHeight="1">
      <c r="A470" s="1"/>
    </row>
    <row r="471" ht="14.25" customHeight="1">
      <c r="A471" s="1"/>
    </row>
    <row r="472" ht="14.25" customHeight="1">
      <c r="A472" s="1"/>
    </row>
    <row r="473" ht="14.25" customHeight="1">
      <c r="A473" s="1"/>
    </row>
    <row r="474" ht="14.25" customHeight="1">
      <c r="A474" s="1"/>
    </row>
    <row r="475" ht="14.25" customHeight="1">
      <c r="A475" s="1"/>
    </row>
    <row r="476" ht="14.25" customHeight="1">
      <c r="A476" s="1"/>
    </row>
    <row r="477" ht="14.25" customHeight="1">
      <c r="A477" s="1"/>
    </row>
    <row r="478" ht="14.25" customHeight="1">
      <c r="A478" s="1"/>
    </row>
    <row r="479" ht="14.25" customHeight="1">
      <c r="A479" s="1"/>
    </row>
    <row r="480" ht="14.25" customHeight="1">
      <c r="A480" s="1"/>
    </row>
    <row r="481" ht="14.25" customHeight="1">
      <c r="A481" s="1"/>
    </row>
    <row r="482" ht="14.25" customHeight="1">
      <c r="A482" s="1"/>
    </row>
    <row r="483" ht="14.25" customHeight="1">
      <c r="A483" s="1"/>
    </row>
    <row r="484" ht="14.25" customHeight="1">
      <c r="A484" s="1"/>
    </row>
    <row r="485" ht="14.25" customHeight="1">
      <c r="A485" s="1"/>
    </row>
    <row r="486" ht="14.25" customHeight="1">
      <c r="A486" s="1"/>
    </row>
    <row r="487" ht="14.25" customHeight="1">
      <c r="A487" s="1"/>
    </row>
    <row r="488" ht="14.25" customHeight="1">
      <c r="A488" s="1"/>
    </row>
    <row r="489" ht="14.25" customHeight="1">
      <c r="A489" s="1"/>
    </row>
    <row r="490" ht="14.25" customHeight="1">
      <c r="A490" s="1"/>
    </row>
    <row r="491" ht="14.25" customHeight="1">
      <c r="A491" s="1"/>
    </row>
    <row r="492" ht="14.25" customHeight="1">
      <c r="A492" s="1"/>
    </row>
    <row r="493" ht="14.25" customHeight="1">
      <c r="A493" s="1"/>
    </row>
    <row r="494" ht="14.25" customHeight="1">
      <c r="A494" s="1"/>
    </row>
    <row r="495" ht="14.25" customHeight="1">
      <c r="A495" s="1"/>
    </row>
    <row r="496" ht="14.25" customHeight="1">
      <c r="A496" s="1"/>
    </row>
    <row r="497" ht="14.25" customHeight="1">
      <c r="A497" s="1"/>
    </row>
    <row r="498" ht="14.25" customHeight="1">
      <c r="A498" s="1"/>
    </row>
    <row r="499" ht="14.25" customHeight="1">
      <c r="A499" s="1"/>
    </row>
    <row r="500" ht="14.25" customHeight="1">
      <c r="A500" s="1"/>
    </row>
    <row r="501" ht="14.25" customHeight="1">
      <c r="A501" s="1"/>
    </row>
    <row r="502" ht="14.25" customHeight="1">
      <c r="A502" s="1"/>
    </row>
    <row r="503" ht="14.25" customHeight="1">
      <c r="A503" s="1"/>
    </row>
    <row r="504" ht="14.25" customHeight="1">
      <c r="A504" s="1"/>
    </row>
    <row r="505" ht="14.25" customHeight="1">
      <c r="A505" s="1"/>
    </row>
    <row r="506" ht="14.25" customHeight="1">
      <c r="A506" s="1"/>
    </row>
    <row r="507" ht="14.25" customHeight="1">
      <c r="A507" s="1"/>
    </row>
    <row r="508" ht="14.25" customHeight="1">
      <c r="A508" s="1"/>
    </row>
    <row r="509" ht="14.25" customHeight="1">
      <c r="A509" s="1"/>
    </row>
    <row r="510" ht="14.25" customHeight="1">
      <c r="A510" s="1"/>
    </row>
    <row r="511" ht="14.25" customHeight="1">
      <c r="A511" s="1"/>
    </row>
    <row r="512" ht="14.25" customHeight="1">
      <c r="A512" s="1"/>
    </row>
    <row r="513" ht="14.25" customHeight="1">
      <c r="A513" s="1"/>
    </row>
    <row r="514" ht="14.25" customHeight="1">
      <c r="A514" s="1"/>
    </row>
    <row r="515" ht="14.25" customHeight="1">
      <c r="A515" s="1"/>
    </row>
    <row r="516" ht="14.25" customHeight="1">
      <c r="A516" s="1"/>
    </row>
    <row r="517" ht="14.25" customHeight="1">
      <c r="A517" s="1"/>
    </row>
    <row r="518" ht="14.25" customHeight="1">
      <c r="A518" s="1"/>
    </row>
    <row r="519" ht="14.25" customHeight="1">
      <c r="A519" s="1"/>
    </row>
    <row r="520" ht="14.25" customHeight="1">
      <c r="A520" s="1"/>
    </row>
    <row r="521" ht="14.25" customHeight="1">
      <c r="A521" s="1"/>
    </row>
    <row r="522" ht="14.25" customHeight="1">
      <c r="A522" s="1"/>
    </row>
    <row r="523" ht="14.25" customHeight="1">
      <c r="A523" s="1"/>
    </row>
    <row r="524" ht="14.25" customHeight="1">
      <c r="A524" s="1"/>
    </row>
    <row r="525" ht="14.25" customHeight="1">
      <c r="A525" s="1"/>
    </row>
    <row r="526" ht="14.25" customHeight="1">
      <c r="A526" s="1"/>
    </row>
    <row r="527" ht="14.25" customHeight="1">
      <c r="A527" s="1"/>
    </row>
    <row r="528" ht="14.25" customHeight="1">
      <c r="A528" s="1"/>
    </row>
    <row r="529" ht="14.25" customHeight="1">
      <c r="A529" s="1"/>
    </row>
    <row r="530" ht="14.25" customHeight="1">
      <c r="A530" s="1"/>
    </row>
    <row r="531" ht="14.25" customHeight="1">
      <c r="A531" s="1"/>
    </row>
    <row r="532" ht="14.25" customHeight="1">
      <c r="A532" s="1"/>
    </row>
    <row r="533" ht="14.25" customHeight="1">
      <c r="A533" s="1"/>
    </row>
    <row r="534" ht="14.25" customHeight="1">
      <c r="A534" s="1"/>
    </row>
    <row r="535" ht="14.25" customHeight="1">
      <c r="A535" s="1"/>
    </row>
    <row r="536" ht="14.25" customHeight="1">
      <c r="A536" s="1"/>
    </row>
    <row r="537" ht="14.25" customHeight="1">
      <c r="A537" s="1"/>
    </row>
    <row r="538" ht="14.25" customHeight="1">
      <c r="A538" s="1"/>
    </row>
    <row r="539" ht="14.25" customHeight="1">
      <c r="A539" s="1"/>
    </row>
    <row r="540" ht="14.25" customHeight="1">
      <c r="A540" s="1"/>
    </row>
    <row r="541" ht="14.25" customHeight="1">
      <c r="A541" s="1"/>
    </row>
    <row r="542" ht="14.25" customHeight="1">
      <c r="A542" s="1"/>
    </row>
    <row r="543" ht="14.25" customHeight="1">
      <c r="A543" s="1"/>
    </row>
    <row r="544" ht="14.25" customHeight="1">
      <c r="A544" s="1"/>
    </row>
    <row r="545" ht="14.25" customHeight="1">
      <c r="A545" s="1"/>
    </row>
    <row r="546" ht="14.25" customHeight="1">
      <c r="A546" s="1"/>
    </row>
    <row r="547" ht="14.25" customHeight="1">
      <c r="A547" s="1"/>
    </row>
    <row r="548" ht="14.25" customHeight="1">
      <c r="A548" s="1"/>
    </row>
    <row r="549" ht="14.25" customHeight="1">
      <c r="A549" s="1"/>
    </row>
    <row r="550" ht="14.25" customHeight="1">
      <c r="A550" s="1"/>
    </row>
    <row r="551" ht="14.25" customHeight="1">
      <c r="A551" s="1"/>
    </row>
    <row r="552" ht="14.25" customHeight="1">
      <c r="A552" s="1"/>
    </row>
    <row r="553" ht="14.25" customHeight="1">
      <c r="A553" s="1"/>
    </row>
    <row r="554" ht="14.25" customHeight="1">
      <c r="A554" s="1"/>
    </row>
    <row r="555" ht="14.25" customHeight="1">
      <c r="A555" s="1"/>
    </row>
    <row r="556" ht="14.25" customHeight="1">
      <c r="A556" s="1"/>
    </row>
    <row r="557" ht="14.25" customHeight="1">
      <c r="A557" s="1"/>
    </row>
    <row r="558" ht="14.25" customHeight="1">
      <c r="A558" s="1"/>
    </row>
    <row r="559" ht="14.25" customHeight="1">
      <c r="A559" s="1"/>
    </row>
    <row r="560" ht="14.25" customHeight="1">
      <c r="A560" s="1"/>
    </row>
    <row r="561" ht="14.25" customHeight="1">
      <c r="A561" s="1"/>
    </row>
    <row r="562" ht="14.25" customHeight="1">
      <c r="A562" s="1"/>
    </row>
    <row r="563" ht="14.25" customHeight="1">
      <c r="A563" s="1"/>
    </row>
    <row r="564" ht="14.25" customHeight="1">
      <c r="A564" s="1"/>
    </row>
    <row r="565" ht="14.25" customHeight="1">
      <c r="A565" s="1"/>
    </row>
    <row r="566" ht="14.25" customHeight="1">
      <c r="A566" s="1"/>
    </row>
    <row r="567" ht="14.25" customHeight="1">
      <c r="A567" s="1"/>
    </row>
    <row r="568" ht="14.25" customHeight="1">
      <c r="A568" s="1"/>
    </row>
    <row r="569" ht="14.25" customHeight="1">
      <c r="A569" s="1"/>
    </row>
    <row r="570" ht="14.25" customHeight="1">
      <c r="A570" s="1"/>
    </row>
    <row r="571" ht="14.25" customHeight="1">
      <c r="A571" s="1"/>
    </row>
    <row r="572" ht="14.25" customHeight="1">
      <c r="A572" s="1"/>
    </row>
    <row r="573" ht="14.25" customHeight="1">
      <c r="A573" s="1"/>
    </row>
    <row r="574" ht="14.25" customHeight="1">
      <c r="A574" s="1"/>
    </row>
    <row r="575" ht="14.25" customHeight="1">
      <c r="A575" s="1"/>
    </row>
    <row r="576" ht="14.25" customHeight="1">
      <c r="A576" s="1"/>
    </row>
    <row r="577" ht="14.25" customHeight="1">
      <c r="A577" s="1"/>
    </row>
    <row r="578" ht="14.25" customHeight="1">
      <c r="A578" s="1"/>
    </row>
    <row r="579" ht="14.25" customHeight="1">
      <c r="A579" s="1"/>
    </row>
    <row r="580" ht="14.25" customHeight="1">
      <c r="A580" s="1"/>
    </row>
    <row r="581" ht="14.25" customHeight="1">
      <c r="A581" s="1"/>
    </row>
    <row r="582" ht="14.25" customHeight="1">
      <c r="A582" s="1"/>
    </row>
    <row r="583" ht="14.25" customHeight="1">
      <c r="A583" s="1"/>
    </row>
    <row r="584" ht="14.25" customHeight="1">
      <c r="A584" s="1"/>
    </row>
    <row r="585" ht="14.25" customHeight="1">
      <c r="A585" s="1"/>
    </row>
    <row r="586" ht="14.25" customHeight="1">
      <c r="A586" s="1"/>
    </row>
    <row r="587" ht="14.25" customHeight="1">
      <c r="A587" s="1"/>
    </row>
    <row r="588" ht="14.25" customHeight="1">
      <c r="A588" s="1"/>
    </row>
    <row r="589" ht="14.25" customHeight="1">
      <c r="A589" s="1"/>
    </row>
    <row r="590" ht="14.25" customHeight="1">
      <c r="A590" s="1"/>
    </row>
    <row r="591" ht="14.25" customHeight="1">
      <c r="A591" s="1"/>
    </row>
    <row r="592" ht="14.25" customHeight="1">
      <c r="A592" s="1"/>
    </row>
    <row r="593" ht="14.25" customHeight="1">
      <c r="A593" s="1"/>
    </row>
    <row r="594" ht="14.25" customHeight="1">
      <c r="A594" s="1"/>
    </row>
    <row r="595" ht="14.25" customHeight="1">
      <c r="A595" s="1"/>
    </row>
    <row r="596" ht="14.25" customHeight="1">
      <c r="A596" s="1"/>
    </row>
    <row r="597" ht="14.25" customHeight="1">
      <c r="A597" s="1"/>
    </row>
    <row r="598" ht="14.25" customHeight="1">
      <c r="A598" s="1"/>
    </row>
    <row r="599" ht="14.25" customHeight="1">
      <c r="A599" s="1"/>
    </row>
    <row r="600" ht="14.25" customHeight="1">
      <c r="A600" s="1"/>
    </row>
    <row r="601" ht="14.25" customHeight="1">
      <c r="A601" s="1"/>
    </row>
    <row r="602" ht="14.25" customHeight="1">
      <c r="A602" s="1"/>
    </row>
    <row r="603" ht="14.25" customHeight="1">
      <c r="A603" s="1"/>
    </row>
    <row r="604" ht="14.25" customHeight="1">
      <c r="A604" s="1"/>
    </row>
    <row r="605" ht="14.25" customHeight="1">
      <c r="A605" s="1"/>
    </row>
    <row r="606" ht="14.25" customHeight="1">
      <c r="A606" s="1"/>
    </row>
    <row r="607" ht="14.25" customHeight="1">
      <c r="A607" s="1"/>
    </row>
    <row r="608" ht="14.25" customHeight="1">
      <c r="A608" s="1"/>
    </row>
    <row r="609" ht="14.25" customHeight="1">
      <c r="A609" s="1"/>
    </row>
    <row r="610" ht="14.25" customHeight="1">
      <c r="A610" s="1"/>
    </row>
    <row r="611" ht="14.25" customHeight="1">
      <c r="A611" s="1"/>
    </row>
    <row r="612" ht="14.25" customHeight="1">
      <c r="A612" s="1"/>
    </row>
    <row r="613" ht="14.25" customHeight="1">
      <c r="A613" s="1"/>
    </row>
    <row r="614" ht="14.25" customHeight="1">
      <c r="A614" s="1"/>
    </row>
    <row r="615" ht="14.25" customHeight="1">
      <c r="A615" s="1"/>
    </row>
    <row r="616" ht="14.25" customHeight="1">
      <c r="A616" s="1"/>
    </row>
    <row r="617" ht="14.25" customHeight="1">
      <c r="A617" s="1"/>
    </row>
    <row r="618" ht="14.25" customHeight="1">
      <c r="A618" s="1"/>
    </row>
    <row r="619" ht="14.25" customHeight="1">
      <c r="A619" s="1"/>
    </row>
    <row r="620" ht="14.25" customHeight="1">
      <c r="A620" s="1"/>
    </row>
    <row r="621" ht="14.25" customHeight="1">
      <c r="A621" s="1"/>
    </row>
    <row r="622" ht="14.25" customHeight="1">
      <c r="A622" s="1"/>
    </row>
    <row r="623" ht="14.25" customHeight="1">
      <c r="A623" s="1"/>
    </row>
    <row r="624" ht="14.25" customHeight="1">
      <c r="A624" s="1"/>
    </row>
    <row r="625" ht="14.25" customHeight="1">
      <c r="A625" s="1"/>
    </row>
    <row r="626" ht="14.25" customHeight="1">
      <c r="A626" s="1"/>
    </row>
    <row r="627" ht="14.25" customHeight="1">
      <c r="A627" s="1"/>
    </row>
    <row r="628" ht="14.25" customHeight="1">
      <c r="A628" s="1"/>
    </row>
    <row r="629" ht="14.25" customHeight="1">
      <c r="A629" s="1"/>
    </row>
    <row r="630" ht="14.25" customHeight="1">
      <c r="A630" s="1"/>
    </row>
    <row r="631" ht="14.25" customHeight="1">
      <c r="A631" s="1"/>
    </row>
    <row r="632" ht="14.25" customHeight="1">
      <c r="A632" s="1"/>
    </row>
    <row r="633" ht="14.25" customHeight="1">
      <c r="A633" s="1"/>
    </row>
    <row r="634" ht="14.25" customHeight="1">
      <c r="A634" s="1"/>
    </row>
    <row r="635" ht="14.25" customHeight="1">
      <c r="A635" s="1"/>
    </row>
    <row r="636" ht="14.25" customHeight="1">
      <c r="A636" s="1"/>
    </row>
    <row r="637" ht="14.25" customHeight="1">
      <c r="A637" s="1"/>
    </row>
    <row r="638" ht="14.25" customHeight="1">
      <c r="A638" s="1"/>
    </row>
    <row r="639" ht="14.25" customHeight="1">
      <c r="A639" s="1"/>
    </row>
    <row r="640" ht="14.25" customHeight="1">
      <c r="A640" s="1"/>
    </row>
    <row r="641" ht="14.25" customHeight="1">
      <c r="A641" s="1"/>
    </row>
    <row r="642" ht="14.25" customHeight="1">
      <c r="A642" s="1"/>
    </row>
    <row r="643" ht="14.25" customHeight="1">
      <c r="A643" s="1"/>
    </row>
    <row r="644" ht="14.25" customHeight="1">
      <c r="A644" s="1"/>
    </row>
    <row r="645" ht="14.25" customHeight="1">
      <c r="A645" s="1"/>
    </row>
    <row r="646" ht="14.25" customHeight="1">
      <c r="A646" s="1"/>
    </row>
    <row r="647" ht="14.25" customHeight="1">
      <c r="A647" s="1"/>
    </row>
    <row r="648" ht="14.25" customHeight="1">
      <c r="A648" s="1"/>
    </row>
    <row r="649" ht="14.25" customHeight="1">
      <c r="A649" s="1"/>
    </row>
    <row r="650" ht="14.25" customHeight="1">
      <c r="A650" s="1"/>
    </row>
    <row r="651" ht="14.25" customHeight="1">
      <c r="A651" s="1"/>
    </row>
    <row r="652" ht="14.25" customHeight="1">
      <c r="A652" s="1"/>
    </row>
    <row r="653" ht="14.25" customHeight="1">
      <c r="A653" s="1"/>
    </row>
    <row r="654" ht="14.25" customHeight="1">
      <c r="A654" s="1"/>
    </row>
    <row r="655" ht="14.25" customHeight="1">
      <c r="A655" s="1"/>
    </row>
    <row r="656" ht="14.25" customHeight="1">
      <c r="A656" s="1"/>
    </row>
    <row r="657" ht="14.25" customHeight="1">
      <c r="A657" s="1"/>
    </row>
    <row r="658" ht="14.25" customHeight="1">
      <c r="A658" s="1"/>
    </row>
    <row r="659" ht="14.25" customHeight="1">
      <c r="A659" s="1"/>
    </row>
    <row r="660" ht="14.25" customHeight="1">
      <c r="A660" s="1"/>
    </row>
    <row r="661" ht="14.25" customHeight="1">
      <c r="A661" s="1"/>
    </row>
    <row r="662" ht="14.25" customHeight="1">
      <c r="A662" s="1"/>
    </row>
    <row r="663" ht="14.25" customHeight="1">
      <c r="A663" s="1"/>
    </row>
    <row r="664" ht="14.25" customHeight="1">
      <c r="A664" s="1"/>
    </row>
    <row r="665" ht="14.25" customHeight="1">
      <c r="A665" s="1"/>
    </row>
    <row r="666" ht="14.25" customHeight="1">
      <c r="A666" s="1"/>
    </row>
    <row r="667" ht="14.25" customHeight="1">
      <c r="A667" s="1"/>
    </row>
    <row r="668" ht="14.25" customHeight="1">
      <c r="A668" s="1"/>
    </row>
    <row r="669" ht="14.25" customHeight="1">
      <c r="A669" s="1"/>
    </row>
    <row r="670" ht="14.25" customHeight="1">
      <c r="A670" s="1"/>
    </row>
    <row r="671" ht="14.25" customHeight="1">
      <c r="A671" s="1"/>
    </row>
    <row r="672" ht="14.25" customHeight="1">
      <c r="A672" s="1"/>
    </row>
    <row r="673" ht="14.25" customHeight="1">
      <c r="A673" s="1"/>
    </row>
    <row r="674" ht="14.25" customHeight="1">
      <c r="A674" s="1"/>
    </row>
    <row r="675" ht="14.25" customHeight="1">
      <c r="A675" s="1"/>
    </row>
    <row r="676" ht="14.25" customHeight="1">
      <c r="A676" s="1"/>
    </row>
    <row r="677" ht="14.25" customHeight="1">
      <c r="A677" s="1"/>
    </row>
    <row r="678" ht="14.25" customHeight="1">
      <c r="A678" s="1"/>
    </row>
    <row r="679" ht="14.25" customHeight="1">
      <c r="A679" s="1"/>
    </row>
    <row r="680" ht="14.25" customHeight="1">
      <c r="A680" s="1"/>
    </row>
    <row r="681" ht="14.25" customHeight="1">
      <c r="A681" s="1"/>
    </row>
    <row r="682" ht="14.25" customHeight="1">
      <c r="A682" s="1"/>
    </row>
    <row r="683" ht="14.25" customHeight="1">
      <c r="A683" s="1"/>
    </row>
    <row r="684" ht="14.25" customHeight="1">
      <c r="A684" s="1"/>
    </row>
    <row r="685" ht="14.25" customHeight="1">
      <c r="A685" s="1"/>
    </row>
    <row r="686" ht="14.25" customHeight="1">
      <c r="A686" s="1"/>
    </row>
    <row r="687" ht="14.25" customHeight="1">
      <c r="A687" s="1"/>
    </row>
    <row r="688" ht="14.25" customHeight="1">
      <c r="A688" s="1"/>
    </row>
    <row r="689" ht="14.25" customHeight="1">
      <c r="A689" s="1"/>
    </row>
    <row r="690" ht="14.25" customHeight="1">
      <c r="A690" s="1"/>
    </row>
    <row r="691" ht="14.25" customHeight="1">
      <c r="A691" s="1"/>
    </row>
    <row r="692" ht="14.25" customHeight="1">
      <c r="A692" s="1"/>
    </row>
    <row r="693" ht="14.25" customHeight="1">
      <c r="A693" s="1"/>
    </row>
    <row r="694" ht="14.25" customHeight="1">
      <c r="A694" s="1"/>
    </row>
    <row r="695" ht="14.25" customHeight="1">
      <c r="A695" s="1"/>
    </row>
    <row r="696" ht="14.25" customHeight="1">
      <c r="A696" s="1"/>
    </row>
    <row r="697" ht="14.25" customHeight="1">
      <c r="A697" s="1"/>
    </row>
    <row r="698" ht="14.25" customHeight="1">
      <c r="A698" s="1"/>
    </row>
    <row r="699" ht="14.25" customHeight="1">
      <c r="A699" s="1"/>
    </row>
    <row r="700" ht="14.25" customHeight="1">
      <c r="A700" s="1"/>
    </row>
    <row r="701" ht="14.25" customHeight="1">
      <c r="A701" s="1"/>
    </row>
    <row r="702" ht="14.25" customHeight="1">
      <c r="A702" s="1"/>
    </row>
    <row r="703" ht="14.25" customHeight="1">
      <c r="A703" s="1"/>
    </row>
    <row r="704" ht="14.25" customHeight="1">
      <c r="A704" s="1"/>
    </row>
    <row r="705" ht="14.25" customHeight="1">
      <c r="A705" s="1"/>
    </row>
    <row r="706" ht="14.25" customHeight="1">
      <c r="A706" s="1"/>
    </row>
    <row r="707" ht="14.25" customHeight="1">
      <c r="A707" s="1"/>
    </row>
    <row r="708" ht="14.25" customHeight="1">
      <c r="A708" s="1"/>
    </row>
    <row r="709" ht="14.25" customHeight="1">
      <c r="A709" s="1"/>
    </row>
    <row r="710" ht="14.25" customHeight="1">
      <c r="A710" s="1"/>
    </row>
    <row r="711" ht="14.25" customHeight="1">
      <c r="A711" s="1"/>
    </row>
    <row r="712" ht="14.25" customHeight="1">
      <c r="A712" s="1"/>
    </row>
    <row r="713" ht="14.25" customHeight="1">
      <c r="A713" s="1"/>
    </row>
    <row r="714" ht="14.25" customHeight="1">
      <c r="A714" s="1"/>
    </row>
    <row r="715" ht="14.25" customHeight="1">
      <c r="A715" s="1"/>
    </row>
    <row r="716" ht="14.25" customHeight="1">
      <c r="A716" s="1"/>
    </row>
    <row r="717" ht="14.25" customHeight="1">
      <c r="A717" s="1"/>
    </row>
    <row r="718" ht="14.25" customHeight="1">
      <c r="A718" s="1"/>
    </row>
    <row r="719" ht="14.25" customHeight="1">
      <c r="A719" s="1"/>
    </row>
    <row r="720" ht="14.25" customHeight="1">
      <c r="A720" s="1"/>
    </row>
    <row r="721" ht="14.25" customHeight="1">
      <c r="A721" s="1"/>
    </row>
    <row r="722" ht="14.25" customHeight="1">
      <c r="A722" s="1"/>
    </row>
    <row r="723" ht="14.25" customHeight="1">
      <c r="A723" s="1"/>
    </row>
    <row r="724" ht="14.25" customHeight="1">
      <c r="A724" s="1"/>
    </row>
    <row r="725" ht="14.25" customHeight="1">
      <c r="A725" s="1"/>
    </row>
    <row r="726" ht="14.25" customHeight="1">
      <c r="A726" s="1"/>
    </row>
    <row r="727" ht="14.25" customHeight="1">
      <c r="A727" s="1"/>
    </row>
    <row r="728" ht="14.25" customHeight="1">
      <c r="A728" s="1"/>
    </row>
    <row r="729" ht="14.25" customHeight="1">
      <c r="A729" s="1"/>
    </row>
    <row r="730" ht="14.25" customHeight="1">
      <c r="A730" s="1"/>
    </row>
    <row r="731" ht="14.25" customHeight="1">
      <c r="A731" s="1"/>
    </row>
    <row r="732" ht="14.25" customHeight="1">
      <c r="A732" s="1"/>
    </row>
    <row r="733" ht="14.25" customHeight="1">
      <c r="A733" s="1"/>
    </row>
    <row r="734" ht="14.25" customHeight="1">
      <c r="A734" s="1"/>
    </row>
    <row r="735" ht="14.25" customHeight="1">
      <c r="A735" s="1"/>
    </row>
    <row r="736" ht="14.25" customHeight="1">
      <c r="A736" s="1"/>
    </row>
    <row r="737" ht="14.25" customHeight="1">
      <c r="A737" s="1"/>
    </row>
    <row r="738" ht="14.25" customHeight="1">
      <c r="A738" s="1"/>
    </row>
    <row r="739" ht="14.25" customHeight="1">
      <c r="A739" s="1"/>
    </row>
    <row r="740" ht="14.25" customHeight="1">
      <c r="A740" s="1"/>
    </row>
    <row r="741" ht="14.25" customHeight="1">
      <c r="A741" s="1"/>
    </row>
    <row r="742" ht="14.25" customHeight="1">
      <c r="A742" s="1"/>
    </row>
    <row r="743" ht="14.25" customHeight="1">
      <c r="A743" s="1"/>
    </row>
    <row r="744" ht="14.25" customHeight="1">
      <c r="A744" s="1"/>
    </row>
    <row r="745" ht="14.25" customHeight="1">
      <c r="A745" s="1"/>
    </row>
    <row r="746" ht="14.25" customHeight="1">
      <c r="A746" s="1"/>
    </row>
    <row r="747" ht="14.25" customHeight="1">
      <c r="A747" s="1"/>
    </row>
    <row r="748" ht="14.25" customHeight="1">
      <c r="A748" s="1"/>
    </row>
    <row r="749" ht="14.25" customHeight="1">
      <c r="A749" s="1"/>
    </row>
    <row r="750" ht="14.25" customHeight="1">
      <c r="A750" s="1"/>
    </row>
    <row r="751" ht="14.25" customHeight="1">
      <c r="A751" s="1"/>
    </row>
    <row r="752" ht="14.25" customHeight="1">
      <c r="A752" s="1"/>
    </row>
    <row r="753" ht="14.25" customHeight="1">
      <c r="A753" s="1"/>
    </row>
    <row r="754" ht="14.25" customHeight="1">
      <c r="A754" s="1"/>
    </row>
    <row r="755" ht="14.25" customHeight="1">
      <c r="A755" s="1"/>
    </row>
    <row r="756" ht="14.25" customHeight="1">
      <c r="A756" s="1"/>
    </row>
    <row r="757" ht="14.25" customHeight="1">
      <c r="A757" s="1"/>
    </row>
    <row r="758" ht="14.25" customHeight="1">
      <c r="A758" s="1"/>
    </row>
    <row r="759" ht="14.25" customHeight="1">
      <c r="A759" s="1"/>
    </row>
    <row r="760" ht="14.25" customHeight="1">
      <c r="A760" s="1"/>
    </row>
    <row r="761" ht="14.25" customHeight="1">
      <c r="A761" s="1"/>
    </row>
    <row r="762" ht="14.25" customHeight="1">
      <c r="A762" s="1"/>
    </row>
    <row r="763" ht="14.25" customHeight="1">
      <c r="A763" s="1"/>
    </row>
    <row r="764" ht="14.25" customHeight="1">
      <c r="A764" s="1"/>
    </row>
    <row r="765" ht="14.25" customHeight="1">
      <c r="A765" s="1"/>
    </row>
    <row r="766" ht="14.25" customHeight="1">
      <c r="A766" s="1"/>
    </row>
    <row r="767" ht="14.25" customHeight="1">
      <c r="A767" s="1"/>
    </row>
    <row r="768" ht="14.25" customHeight="1">
      <c r="A768" s="1"/>
    </row>
    <row r="769" ht="14.25" customHeight="1">
      <c r="A769" s="1"/>
    </row>
    <row r="770" ht="14.25" customHeight="1">
      <c r="A770" s="1"/>
    </row>
    <row r="771" ht="14.25" customHeight="1">
      <c r="A771" s="1"/>
    </row>
    <row r="772" ht="14.25" customHeight="1">
      <c r="A772" s="1"/>
    </row>
    <row r="773" ht="14.25" customHeight="1">
      <c r="A773" s="1"/>
    </row>
    <row r="774" ht="14.25" customHeight="1">
      <c r="A774" s="1"/>
    </row>
    <row r="775" ht="14.25" customHeight="1">
      <c r="A775" s="1"/>
    </row>
    <row r="776" ht="14.25" customHeight="1">
      <c r="A776" s="1"/>
    </row>
    <row r="777" ht="14.25" customHeight="1">
      <c r="A777" s="1"/>
    </row>
    <row r="778" ht="14.25" customHeight="1">
      <c r="A778" s="1"/>
    </row>
    <row r="779" ht="14.25" customHeight="1">
      <c r="A779" s="1"/>
    </row>
    <row r="780" ht="14.25" customHeight="1">
      <c r="A780" s="1"/>
    </row>
    <row r="781" ht="14.25" customHeight="1">
      <c r="A781" s="1"/>
    </row>
    <row r="782" ht="14.25" customHeight="1">
      <c r="A782" s="1"/>
    </row>
    <row r="783" ht="14.25" customHeight="1">
      <c r="A783" s="1"/>
    </row>
    <row r="784" ht="14.25" customHeight="1">
      <c r="A784" s="1"/>
    </row>
    <row r="785" ht="14.25" customHeight="1">
      <c r="A785" s="1"/>
    </row>
    <row r="786" ht="14.25" customHeight="1">
      <c r="A786" s="1"/>
    </row>
    <row r="787" ht="14.25" customHeight="1">
      <c r="A787" s="1"/>
    </row>
    <row r="788" ht="14.25" customHeight="1">
      <c r="A788" s="1"/>
    </row>
    <row r="789" ht="14.25" customHeight="1">
      <c r="A789" s="1"/>
    </row>
    <row r="790" ht="14.25" customHeight="1">
      <c r="A790" s="1"/>
    </row>
    <row r="791" ht="14.25" customHeight="1">
      <c r="A791" s="1"/>
    </row>
    <row r="792" ht="14.25" customHeight="1">
      <c r="A792" s="1"/>
    </row>
    <row r="793" ht="14.25" customHeight="1">
      <c r="A793" s="1"/>
    </row>
    <row r="794" ht="14.25" customHeight="1">
      <c r="A794" s="1"/>
    </row>
    <row r="795" ht="14.25" customHeight="1">
      <c r="A795" s="1"/>
    </row>
    <row r="796" ht="14.25" customHeight="1">
      <c r="A796" s="1"/>
    </row>
    <row r="797" ht="14.25" customHeight="1">
      <c r="A797" s="1"/>
    </row>
    <row r="798" ht="14.25" customHeight="1">
      <c r="A798" s="1"/>
    </row>
    <row r="799" ht="14.25" customHeight="1">
      <c r="A799" s="1"/>
    </row>
    <row r="800" ht="14.25" customHeight="1">
      <c r="A800" s="1"/>
    </row>
    <row r="801" ht="14.25" customHeight="1">
      <c r="A801" s="1"/>
    </row>
    <row r="802" ht="14.25" customHeight="1">
      <c r="A802" s="1"/>
    </row>
    <row r="803" ht="14.25" customHeight="1">
      <c r="A803" s="1"/>
    </row>
    <row r="804" ht="14.25" customHeight="1">
      <c r="A804" s="1"/>
    </row>
    <row r="805" ht="14.25" customHeight="1">
      <c r="A805" s="1"/>
    </row>
    <row r="806" ht="14.25" customHeight="1">
      <c r="A806" s="1"/>
    </row>
    <row r="807" ht="14.25" customHeight="1">
      <c r="A807" s="1"/>
    </row>
    <row r="808" ht="14.25" customHeight="1">
      <c r="A808" s="1"/>
    </row>
    <row r="809" ht="14.25" customHeight="1">
      <c r="A809" s="1"/>
    </row>
    <row r="810" ht="14.25" customHeight="1">
      <c r="A810" s="1"/>
    </row>
    <row r="811" ht="14.25" customHeight="1">
      <c r="A811" s="1"/>
    </row>
    <row r="812" ht="14.25" customHeight="1">
      <c r="A812" s="1"/>
    </row>
    <row r="813" ht="14.25" customHeight="1">
      <c r="A813" s="1"/>
    </row>
    <row r="814" ht="14.25" customHeight="1">
      <c r="A814" s="1"/>
    </row>
    <row r="815" ht="14.25" customHeight="1">
      <c r="A815" s="1"/>
    </row>
    <row r="816" ht="14.25" customHeight="1">
      <c r="A816" s="1"/>
    </row>
    <row r="817" ht="14.25" customHeight="1">
      <c r="A817" s="1"/>
    </row>
    <row r="818" ht="14.25" customHeight="1">
      <c r="A818" s="1"/>
    </row>
    <row r="819" ht="14.25" customHeight="1">
      <c r="A819" s="1"/>
    </row>
    <row r="820" ht="14.25" customHeight="1">
      <c r="A820" s="1"/>
    </row>
    <row r="821" ht="14.25" customHeight="1">
      <c r="A821" s="1"/>
    </row>
    <row r="822" ht="14.25" customHeight="1">
      <c r="A822" s="1"/>
    </row>
    <row r="823" ht="14.25" customHeight="1">
      <c r="A823" s="1"/>
    </row>
    <row r="824" ht="14.25" customHeight="1">
      <c r="A824" s="1"/>
    </row>
    <row r="825" ht="14.25" customHeight="1">
      <c r="A825" s="1"/>
    </row>
    <row r="826" ht="14.25" customHeight="1">
      <c r="A826" s="1"/>
    </row>
    <row r="827" ht="14.25" customHeight="1">
      <c r="A827" s="1"/>
    </row>
    <row r="828" ht="14.25" customHeight="1">
      <c r="A828" s="1"/>
    </row>
    <row r="829" ht="14.25" customHeight="1">
      <c r="A829" s="1"/>
    </row>
    <row r="830" ht="14.25" customHeight="1">
      <c r="A830" s="1"/>
    </row>
    <row r="831" ht="14.25" customHeight="1">
      <c r="A831" s="1"/>
    </row>
    <row r="832" ht="14.25" customHeight="1">
      <c r="A832" s="1"/>
    </row>
    <row r="833" ht="14.25" customHeight="1">
      <c r="A833" s="1"/>
    </row>
    <row r="834" ht="14.25" customHeight="1">
      <c r="A834" s="1"/>
    </row>
    <row r="835" ht="14.25" customHeight="1">
      <c r="A835" s="1"/>
    </row>
    <row r="836" ht="14.25" customHeight="1">
      <c r="A836" s="1"/>
    </row>
    <row r="837" ht="14.25" customHeight="1">
      <c r="A837" s="1"/>
    </row>
    <row r="838" ht="14.25" customHeight="1">
      <c r="A838" s="1"/>
    </row>
    <row r="839" ht="14.25" customHeight="1">
      <c r="A839" s="1"/>
    </row>
    <row r="840" ht="14.25" customHeight="1">
      <c r="A840" s="1"/>
    </row>
    <row r="841" ht="14.25" customHeight="1">
      <c r="A841" s="1"/>
    </row>
    <row r="842" ht="14.25" customHeight="1">
      <c r="A842" s="1"/>
    </row>
    <row r="843" ht="14.25" customHeight="1">
      <c r="A843" s="1"/>
    </row>
    <row r="844" ht="14.25" customHeight="1">
      <c r="A844" s="1"/>
    </row>
    <row r="845" ht="14.25" customHeight="1">
      <c r="A845" s="1"/>
    </row>
    <row r="846" ht="14.25" customHeight="1">
      <c r="A846" s="1"/>
    </row>
    <row r="847" ht="14.25" customHeight="1">
      <c r="A847" s="1"/>
    </row>
    <row r="848" ht="14.25" customHeight="1">
      <c r="A848" s="1"/>
    </row>
    <row r="849" ht="14.25" customHeight="1">
      <c r="A849" s="1"/>
    </row>
    <row r="850" ht="14.25" customHeight="1">
      <c r="A850" s="1"/>
    </row>
    <row r="851" ht="14.25" customHeight="1">
      <c r="A851" s="1"/>
    </row>
    <row r="852" ht="14.25" customHeight="1">
      <c r="A852" s="1"/>
    </row>
    <row r="853" ht="14.25" customHeight="1">
      <c r="A853" s="1"/>
    </row>
    <row r="854" ht="14.25" customHeight="1">
      <c r="A854" s="1"/>
    </row>
    <row r="855" ht="14.25" customHeight="1">
      <c r="A855" s="1"/>
    </row>
    <row r="856" ht="14.25" customHeight="1">
      <c r="A856" s="1"/>
    </row>
    <row r="857" ht="14.25" customHeight="1">
      <c r="A857" s="1"/>
    </row>
    <row r="858" ht="14.25" customHeight="1">
      <c r="A858" s="1"/>
    </row>
    <row r="859" ht="14.25" customHeight="1">
      <c r="A859" s="1"/>
    </row>
    <row r="860" ht="14.25" customHeight="1">
      <c r="A860" s="1"/>
    </row>
    <row r="861" ht="14.25" customHeight="1">
      <c r="A861" s="1"/>
    </row>
    <row r="862" ht="14.25" customHeight="1">
      <c r="A862" s="1"/>
    </row>
    <row r="863" ht="14.25" customHeight="1">
      <c r="A863" s="1"/>
    </row>
    <row r="864" ht="14.25" customHeight="1">
      <c r="A864" s="1"/>
    </row>
    <row r="865" ht="14.25" customHeight="1">
      <c r="A865" s="1"/>
    </row>
    <row r="866" ht="14.25" customHeight="1">
      <c r="A866" s="1"/>
    </row>
    <row r="867" ht="14.25" customHeight="1">
      <c r="A867" s="1"/>
    </row>
    <row r="868" ht="14.25" customHeight="1">
      <c r="A868" s="1"/>
    </row>
    <row r="869" ht="14.25" customHeight="1">
      <c r="A869" s="1"/>
    </row>
    <row r="870" ht="14.25" customHeight="1">
      <c r="A870" s="1"/>
    </row>
    <row r="871" ht="14.25" customHeight="1">
      <c r="A871" s="1"/>
    </row>
    <row r="872" ht="14.25" customHeight="1">
      <c r="A872" s="1"/>
    </row>
    <row r="873" ht="14.25" customHeight="1">
      <c r="A873" s="1"/>
    </row>
    <row r="874" ht="14.25" customHeight="1">
      <c r="A874" s="1"/>
    </row>
    <row r="875" ht="14.25" customHeight="1">
      <c r="A875" s="1"/>
    </row>
    <row r="876" ht="14.25" customHeight="1">
      <c r="A876" s="1"/>
    </row>
    <row r="877" ht="14.25" customHeight="1">
      <c r="A877" s="1"/>
    </row>
    <row r="878" ht="14.25" customHeight="1">
      <c r="A878" s="1"/>
    </row>
    <row r="879" ht="14.25" customHeight="1">
      <c r="A879" s="1"/>
    </row>
    <row r="880" ht="14.25" customHeight="1">
      <c r="A880" s="1"/>
    </row>
    <row r="881" ht="14.25" customHeight="1">
      <c r="A881" s="1"/>
    </row>
    <row r="882" ht="14.25" customHeight="1">
      <c r="A882" s="1"/>
    </row>
    <row r="883" ht="14.25" customHeight="1">
      <c r="A883" s="1"/>
    </row>
    <row r="884" ht="14.25" customHeight="1">
      <c r="A884" s="1"/>
    </row>
    <row r="885" ht="14.25" customHeight="1">
      <c r="A885" s="1"/>
    </row>
    <row r="886" ht="14.25" customHeight="1">
      <c r="A886" s="1"/>
    </row>
    <row r="887" ht="14.25" customHeight="1">
      <c r="A887" s="1"/>
    </row>
    <row r="888" ht="14.25" customHeight="1">
      <c r="A888" s="1"/>
    </row>
    <row r="889" ht="14.25" customHeight="1">
      <c r="A889" s="1"/>
    </row>
    <row r="890" ht="14.25" customHeight="1">
      <c r="A890" s="1"/>
    </row>
    <row r="891" ht="14.25" customHeight="1">
      <c r="A891" s="1"/>
    </row>
    <row r="892" ht="14.25" customHeight="1">
      <c r="A892" s="1"/>
    </row>
    <row r="893" ht="14.25" customHeight="1">
      <c r="A893" s="1"/>
    </row>
    <row r="894" ht="14.25" customHeight="1">
      <c r="A894" s="1"/>
    </row>
    <row r="895" ht="14.25" customHeight="1">
      <c r="A895" s="1"/>
    </row>
    <row r="896" ht="14.25" customHeight="1">
      <c r="A896" s="1"/>
    </row>
    <row r="897" ht="14.25" customHeight="1">
      <c r="A897" s="1"/>
    </row>
    <row r="898" ht="14.25" customHeight="1">
      <c r="A898" s="1"/>
    </row>
    <row r="899" ht="14.25" customHeight="1">
      <c r="A899" s="1"/>
    </row>
    <row r="900" ht="14.25" customHeight="1">
      <c r="A900" s="1"/>
    </row>
    <row r="901" ht="14.25" customHeight="1">
      <c r="A901" s="1"/>
    </row>
    <row r="902" ht="14.25" customHeight="1">
      <c r="A902" s="1"/>
    </row>
    <row r="903" ht="14.25" customHeight="1">
      <c r="A903" s="1"/>
    </row>
    <row r="904" ht="14.25" customHeight="1">
      <c r="A904" s="1"/>
    </row>
    <row r="905" ht="14.25" customHeight="1">
      <c r="A905" s="1"/>
    </row>
    <row r="906" ht="14.25" customHeight="1">
      <c r="A906" s="1"/>
    </row>
    <row r="907" ht="14.25" customHeight="1">
      <c r="A907" s="1"/>
    </row>
    <row r="908" ht="14.25" customHeight="1">
      <c r="A908" s="1"/>
    </row>
    <row r="909" ht="14.25" customHeight="1">
      <c r="A909" s="1"/>
    </row>
    <row r="910" ht="14.25" customHeight="1">
      <c r="A910" s="1"/>
    </row>
    <row r="911" ht="14.25" customHeight="1">
      <c r="A911" s="1"/>
    </row>
    <row r="912" ht="14.25" customHeight="1">
      <c r="A912" s="1"/>
    </row>
    <row r="913" ht="14.25" customHeight="1">
      <c r="A913" s="1"/>
    </row>
    <row r="914" ht="14.25" customHeight="1">
      <c r="A914" s="1"/>
    </row>
    <row r="915" ht="14.25" customHeight="1">
      <c r="A915" s="1"/>
    </row>
    <row r="916" ht="14.25" customHeight="1">
      <c r="A916" s="1"/>
    </row>
    <row r="917" ht="14.25" customHeight="1">
      <c r="A917" s="1"/>
    </row>
    <row r="918" ht="14.25" customHeight="1">
      <c r="A918" s="1"/>
    </row>
    <row r="919" ht="14.25" customHeight="1">
      <c r="A919" s="1"/>
    </row>
    <row r="920" ht="14.25" customHeight="1">
      <c r="A920" s="1"/>
    </row>
    <row r="921" ht="14.25" customHeight="1">
      <c r="A921" s="1"/>
    </row>
    <row r="922" ht="14.25" customHeight="1">
      <c r="A922" s="1"/>
    </row>
    <row r="923" ht="14.25" customHeight="1">
      <c r="A923" s="1"/>
    </row>
    <row r="924" ht="14.25" customHeight="1">
      <c r="A924" s="1"/>
    </row>
    <row r="925" ht="14.25" customHeight="1">
      <c r="A925" s="1"/>
    </row>
    <row r="926" ht="14.25" customHeight="1">
      <c r="A926" s="1"/>
    </row>
    <row r="927" ht="14.25" customHeight="1">
      <c r="A927" s="1"/>
    </row>
    <row r="928" ht="14.25" customHeight="1">
      <c r="A928" s="1"/>
    </row>
    <row r="929" ht="14.25" customHeight="1">
      <c r="A929" s="1"/>
    </row>
    <row r="930" ht="14.25" customHeight="1">
      <c r="A930" s="1"/>
    </row>
    <row r="931" ht="14.25" customHeight="1">
      <c r="A931" s="1"/>
    </row>
    <row r="932" ht="14.25" customHeight="1">
      <c r="A932" s="1"/>
    </row>
    <row r="933" ht="14.25" customHeight="1">
      <c r="A933" s="1"/>
    </row>
    <row r="934" ht="14.25" customHeight="1">
      <c r="A934" s="1"/>
    </row>
    <row r="935" ht="14.25" customHeight="1">
      <c r="A935" s="1"/>
    </row>
    <row r="936" ht="14.25" customHeight="1">
      <c r="A936" s="1"/>
    </row>
    <row r="937" ht="14.25" customHeight="1">
      <c r="A937" s="1"/>
    </row>
    <row r="938" ht="14.25" customHeight="1">
      <c r="A938" s="1"/>
    </row>
    <row r="939" ht="14.25" customHeight="1">
      <c r="A939" s="1"/>
    </row>
    <row r="940" ht="14.25" customHeight="1">
      <c r="A940" s="1"/>
    </row>
    <row r="941" ht="14.25" customHeight="1">
      <c r="A941" s="1"/>
    </row>
    <row r="942" ht="14.25" customHeight="1">
      <c r="A942" s="1"/>
    </row>
    <row r="943" ht="14.25" customHeight="1">
      <c r="A943" s="1"/>
    </row>
    <row r="944" ht="14.25" customHeight="1">
      <c r="A944" s="1"/>
    </row>
    <row r="945" ht="14.25" customHeight="1">
      <c r="A945" s="1"/>
    </row>
    <row r="946" ht="14.25" customHeight="1">
      <c r="A946" s="1"/>
    </row>
    <row r="947" ht="14.25" customHeight="1">
      <c r="A947" s="1"/>
    </row>
    <row r="948" ht="14.25" customHeight="1">
      <c r="A948" s="1"/>
    </row>
    <row r="949" ht="14.25" customHeight="1">
      <c r="A949" s="1"/>
    </row>
    <row r="950" ht="14.25" customHeight="1">
      <c r="A950" s="1"/>
    </row>
    <row r="951" ht="14.25" customHeight="1">
      <c r="A951" s="1"/>
    </row>
    <row r="952" ht="14.25" customHeight="1">
      <c r="A952" s="1"/>
    </row>
    <row r="953" ht="14.25" customHeight="1">
      <c r="A953" s="1"/>
    </row>
    <row r="954" ht="14.25" customHeight="1">
      <c r="A954" s="1"/>
    </row>
    <row r="955" ht="14.25" customHeight="1">
      <c r="A955" s="1"/>
    </row>
    <row r="956" ht="14.25" customHeight="1">
      <c r="A956" s="1"/>
    </row>
    <row r="957" ht="14.25" customHeight="1">
      <c r="A957" s="1"/>
    </row>
    <row r="958" ht="14.25" customHeight="1">
      <c r="A958" s="1"/>
    </row>
    <row r="959" ht="14.25" customHeight="1">
      <c r="A959" s="1"/>
    </row>
    <row r="960" ht="14.25" customHeight="1">
      <c r="A960" s="1"/>
    </row>
    <row r="961" ht="14.25" customHeight="1">
      <c r="A961" s="1"/>
    </row>
    <row r="962" ht="14.25" customHeight="1">
      <c r="A962" s="1"/>
    </row>
    <row r="963" ht="14.25" customHeight="1">
      <c r="A963" s="1"/>
    </row>
    <row r="964" ht="14.25" customHeight="1">
      <c r="A964" s="1"/>
    </row>
    <row r="965" ht="14.25" customHeight="1">
      <c r="A965" s="1"/>
    </row>
    <row r="966" ht="14.25" customHeight="1">
      <c r="A966" s="1"/>
    </row>
    <row r="967" ht="14.25" customHeight="1">
      <c r="A967" s="1"/>
    </row>
    <row r="968" ht="14.25" customHeight="1">
      <c r="A968" s="1"/>
    </row>
    <row r="969" ht="14.25" customHeight="1">
      <c r="A969" s="1"/>
    </row>
    <row r="970" ht="14.25" customHeight="1">
      <c r="A970" s="1"/>
    </row>
    <row r="971" ht="14.25" customHeight="1">
      <c r="A971" s="1"/>
    </row>
    <row r="972" ht="14.25" customHeight="1">
      <c r="A972" s="1"/>
    </row>
    <row r="973" ht="14.25" customHeight="1">
      <c r="A973" s="1"/>
    </row>
    <row r="974" ht="14.25" customHeight="1">
      <c r="A974" s="1"/>
    </row>
    <row r="975" ht="14.25" customHeight="1">
      <c r="A975" s="1"/>
    </row>
    <row r="976" ht="14.25" customHeight="1">
      <c r="A976" s="1"/>
    </row>
    <row r="977" ht="14.25" customHeight="1">
      <c r="A977" s="1"/>
    </row>
    <row r="978" ht="14.25" customHeight="1">
      <c r="A978" s="1"/>
    </row>
    <row r="979" ht="14.25" customHeight="1">
      <c r="A979" s="1"/>
    </row>
    <row r="980" ht="14.25" customHeight="1">
      <c r="A980" s="1"/>
    </row>
    <row r="981" ht="14.25" customHeight="1">
      <c r="A981" s="1"/>
    </row>
    <row r="982" ht="14.25" customHeight="1">
      <c r="A982" s="1"/>
    </row>
    <row r="983" ht="14.25" customHeight="1">
      <c r="A983" s="1"/>
    </row>
    <row r="984" ht="14.25" customHeight="1">
      <c r="A984" s="1"/>
    </row>
    <row r="985" ht="14.25" customHeight="1">
      <c r="A985" s="1"/>
    </row>
    <row r="986" ht="14.25" customHeight="1">
      <c r="A986" s="1"/>
    </row>
    <row r="987" ht="14.25" customHeight="1">
      <c r="A987" s="1"/>
    </row>
    <row r="988" ht="14.25" customHeight="1">
      <c r="A988" s="1"/>
    </row>
    <row r="989" ht="14.25" customHeight="1">
      <c r="A989" s="1"/>
    </row>
    <row r="990" ht="14.25" customHeight="1">
      <c r="A990" s="1"/>
    </row>
    <row r="991" ht="14.25" customHeight="1">
      <c r="A991" s="1"/>
    </row>
    <row r="992" ht="14.25" customHeight="1">
      <c r="A992" s="1"/>
    </row>
    <row r="993" ht="14.25" customHeight="1">
      <c r="A993" s="1"/>
    </row>
    <row r="994" ht="14.25" customHeight="1">
      <c r="A994" s="1"/>
    </row>
    <row r="995" ht="14.25" customHeight="1">
      <c r="A995" s="1"/>
    </row>
    <row r="996" ht="14.25" customHeight="1">
      <c r="A996" s="1"/>
    </row>
    <row r="997" ht="14.25" customHeight="1">
      <c r="A997" s="1"/>
    </row>
    <row r="998" ht="14.25" customHeight="1">
      <c r="A998" s="1"/>
    </row>
    <row r="999" ht="14.25" customHeight="1">
      <c r="A999" s="1"/>
    </row>
    <row r="1000" ht="14.25" customHeight="1">
      <c r="A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.43"/>
    <col customWidth="1" min="3" max="3" width="10.71"/>
    <col customWidth="1" min="4" max="4" width="13.57"/>
    <col customWidth="1" min="5" max="8" width="10.71"/>
    <col customWidth="1" min="9" max="9" width="7.57"/>
    <col customWidth="1" min="10" max="10" width="8.57"/>
    <col customWidth="1" min="11" max="14" width="10.57"/>
    <col customWidth="1" min="15" max="15" width="8.57"/>
    <col customWidth="1" min="16" max="21" width="10.57"/>
    <col customWidth="1" min="22" max="22" width="10.71"/>
    <col customWidth="1" min="23" max="23" width="13.71"/>
    <col customWidth="1" min="24" max="26" width="10.71"/>
  </cols>
  <sheetData>
    <row r="1" ht="14.25" customHeight="1">
      <c r="I1" s="9" t="s">
        <v>44</v>
      </c>
      <c r="J1" s="9"/>
    </row>
    <row r="2" ht="14.25" customHeight="1"/>
    <row r="3" ht="14.25" customHeight="1">
      <c r="C3" s="1" t="s">
        <v>1</v>
      </c>
      <c r="D3" s="1" t="s">
        <v>0</v>
      </c>
      <c r="E3" s="1" t="s">
        <v>45</v>
      </c>
      <c r="I3" s="10" t="s">
        <v>46</v>
      </c>
      <c r="J3" s="11" t="s">
        <v>47</v>
      </c>
      <c r="K3" s="12"/>
      <c r="L3" s="12"/>
      <c r="M3" s="12"/>
      <c r="N3" s="13"/>
      <c r="O3" s="11" t="s">
        <v>48</v>
      </c>
      <c r="P3" s="12"/>
      <c r="Q3" s="12"/>
      <c r="R3" s="12"/>
      <c r="S3" s="13"/>
      <c r="T3" s="10" t="s">
        <v>49</v>
      </c>
      <c r="U3" s="10" t="s">
        <v>50</v>
      </c>
      <c r="V3" s="10" t="s">
        <v>51</v>
      </c>
      <c r="W3" s="10" t="s">
        <v>52</v>
      </c>
    </row>
    <row r="4" ht="42.75" customHeight="1">
      <c r="B4" s="8" t="s">
        <v>53</v>
      </c>
      <c r="C4" s="7">
        <v>384530.79</v>
      </c>
      <c r="D4" s="7">
        <v>7757778.6</v>
      </c>
      <c r="I4" s="14"/>
      <c r="J4" s="3" t="s">
        <v>54</v>
      </c>
      <c r="K4" s="15" t="s">
        <v>55</v>
      </c>
      <c r="L4" s="3" t="s">
        <v>56</v>
      </c>
      <c r="M4" s="15" t="s">
        <v>57</v>
      </c>
      <c r="N4" s="15" t="s">
        <v>58</v>
      </c>
      <c r="O4" s="3" t="s">
        <v>54</v>
      </c>
      <c r="P4" s="15" t="s">
        <v>55</v>
      </c>
      <c r="Q4" s="3" t="s">
        <v>56</v>
      </c>
      <c r="R4" s="15" t="s">
        <v>57</v>
      </c>
      <c r="S4" s="15" t="s">
        <v>58</v>
      </c>
      <c r="T4" s="14"/>
      <c r="U4" s="14"/>
      <c r="V4" s="14"/>
      <c r="W4" s="14"/>
    </row>
    <row r="5" ht="14.25" customHeight="1">
      <c r="B5" s="8" t="s">
        <v>59</v>
      </c>
      <c r="C5" s="7">
        <v>384598.34</v>
      </c>
      <c r="D5" s="7">
        <v>7757756.43</v>
      </c>
      <c r="I5" s="16">
        <v>1.0</v>
      </c>
      <c r="J5" s="16"/>
      <c r="K5" s="17">
        <v>0.0</v>
      </c>
      <c r="L5" s="18" t="s">
        <v>60</v>
      </c>
      <c r="M5" s="19"/>
      <c r="N5" s="19"/>
      <c r="O5" s="18"/>
      <c r="P5" s="20">
        <v>3.4722222222222224E-4</v>
      </c>
      <c r="Q5" s="18" t="s">
        <v>61</v>
      </c>
      <c r="R5" s="18"/>
      <c r="S5" s="18"/>
      <c r="T5" s="18"/>
      <c r="U5" s="18"/>
      <c r="V5" s="18"/>
      <c r="W5" s="18"/>
    </row>
    <row r="6" ht="14.25" customHeight="1">
      <c r="B6" s="8" t="s">
        <v>62</v>
      </c>
      <c r="C6" s="7">
        <v>384729.47</v>
      </c>
      <c r="D6" s="7">
        <v>7757778.05</v>
      </c>
      <c r="I6" s="16">
        <v>1.0</v>
      </c>
      <c r="J6" s="16"/>
      <c r="K6" s="17">
        <v>3.5879629629629635E-4</v>
      </c>
      <c r="L6" s="18" t="s">
        <v>61</v>
      </c>
      <c r="M6" s="19"/>
      <c r="N6" s="19"/>
      <c r="O6" s="18"/>
      <c r="P6" s="20">
        <v>6.944444444444445E-4</v>
      </c>
      <c r="Q6" s="18" t="s">
        <v>61</v>
      </c>
      <c r="R6" s="18"/>
      <c r="S6" s="18"/>
      <c r="T6" s="18"/>
      <c r="U6" s="18"/>
      <c r="V6" s="18"/>
      <c r="W6" s="18"/>
    </row>
    <row r="7" ht="14.25" customHeight="1">
      <c r="B7" s="8" t="s">
        <v>63</v>
      </c>
      <c r="C7" s="7">
        <v>384713.03</v>
      </c>
      <c r="D7" s="7">
        <v>7757865.61</v>
      </c>
      <c r="I7" s="16">
        <v>1.0</v>
      </c>
      <c r="J7" s="16"/>
      <c r="K7" s="17">
        <v>7.060185185185185E-4</v>
      </c>
      <c r="L7" s="18" t="s">
        <v>64</v>
      </c>
      <c r="M7" s="19"/>
      <c r="N7" s="19"/>
      <c r="O7" s="18"/>
      <c r="P7" s="20">
        <v>0.0010416666666666667</v>
      </c>
      <c r="Q7" s="18" t="s">
        <v>64</v>
      </c>
      <c r="R7" s="18"/>
      <c r="S7" s="18"/>
      <c r="T7" s="18"/>
      <c r="U7" s="18"/>
      <c r="V7" s="18"/>
      <c r="W7" s="18"/>
    </row>
    <row r="8" ht="14.25" customHeight="1"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ht="14.25" customHeight="1"/>
    <row r="10" ht="14.25" customHeight="1">
      <c r="I10" s="21" t="s">
        <v>65</v>
      </c>
      <c r="J10" s="21"/>
    </row>
    <row r="11" ht="14.25" customHeight="1">
      <c r="I11" s="21" t="s">
        <v>66</v>
      </c>
    </row>
    <row r="12" ht="14.25" customHeight="1">
      <c r="I12" s="21" t="s">
        <v>67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I3:I4"/>
    <mergeCell ref="J3:N3"/>
    <mergeCell ref="O3:S3"/>
    <mergeCell ref="T3:T4"/>
    <mergeCell ref="U3:U4"/>
    <mergeCell ref="V3:V4"/>
    <mergeCell ref="W3:W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.14"/>
    <col customWidth="1" min="3" max="3" width="10.71"/>
    <col customWidth="1" min="4" max="4" width="19.29"/>
    <col customWidth="1" min="5" max="7" width="4.57"/>
    <col customWidth="1" min="8" max="8" width="10.0"/>
    <col customWidth="1" min="9" max="11" width="17.43"/>
    <col customWidth="1" min="12" max="13" width="10.71"/>
    <col customWidth="1" min="14" max="14" width="4.71"/>
    <col customWidth="1" min="15" max="27" width="10.71"/>
  </cols>
  <sheetData>
    <row r="1" ht="14.25" customHeight="1">
      <c r="A1" s="9" t="s">
        <v>68</v>
      </c>
    </row>
    <row r="2" ht="14.25" customHeight="1">
      <c r="I2" s="9" t="s">
        <v>69</v>
      </c>
      <c r="N2" s="22" t="s">
        <v>70</v>
      </c>
    </row>
    <row r="3" ht="14.25" customHeight="1">
      <c r="A3" s="23" t="s">
        <v>71</v>
      </c>
      <c r="B3" s="11" t="s">
        <v>72</v>
      </c>
      <c r="C3" s="24"/>
      <c r="H3" s="23" t="s">
        <v>71</v>
      </c>
      <c r="I3" s="18" t="s">
        <v>73</v>
      </c>
      <c r="J3" s="18" t="s">
        <v>74</v>
      </c>
      <c r="K3" s="18" t="s">
        <v>75</v>
      </c>
      <c r="O3" s="8" t="s">
        <v>76</v>
      </c>
    </row>
    <row r="4" ht="14.25" customHeight="1">
      <c r="A4" s="6">
        <v>1.0</v>
      </c>
      <c r="B4" s="25" t="s">
        <v>77</v>
      </c>
      <c r="C4" s="26"/>
      <c r="H4" s="6">
        <v>1.0</v>
      </c>
      <c r="I4" s="27" t="s">
        <v>78</v>
      </c>
      <c r="J4" s="27" t="s">
        <v>78</v>
      </c>
      <c r="K4" s="27" t="s">
        <v>79</v>
      </c>
    </row>
    <row r="5" ht="14.25" customHeight="1">
      <c r="A5" s="6">
        <v>2.0</v>
      </c>
      <c r="B5" s="28" t="s">
        <v>80</v>
      </c>
      <c r="C5" s="29"/>
      <c r="H5" s="6">
        <v>2.0</v>
      </c>
      <c r="I5" s="30" t="s">
        <v>81</v>
      </c>
      <c r="J5" s="30" t="s">
        <v>81</v>
      </c>
      <c r="K5" s="30" t="s">
        <v>82</v>
      </c>
      <c r="N5" s="22" t="s">
        <v>83</v>
      </c>
    </row>
    <row r="6" ht="14.25" customHeight="1">
      <c r="A6" s="6">
        <v>3.0</v>
      </c>
      <c r="B6" s="28" t="s">
        <v>84</v>
      </c>
      <c r="C6" s="29"/>
      <c r="H6" s="6">
        <v>3.0</v>
      </c>
      <c r="I6" s="30" t="s">
        <v>85</v>
      </c>
      <c r="J6" s="30" t="s">
        <v>85</v>
      </c>
      <c r="K6" s="30" t="s">
        <v>86</v>
      </c>
      <c r="O6" s="31" t="s">
        <v>87</v>
      </c>
    </row>
    <row r="7" ht="14.25" customHeight="1">
      <c r="A7" s="6">
        <v>4.0</v>
      </c>
      <c r="B7" s="28" t="s">
        <v>88</v>
      </c>
      <c r="C7" s="29"/>
      <c r="H7" s="6">
        <v>4.0</v>
      </c>
      <c r="I7" s="30" t="s">
        <v>89</v>
      </c>
      <c r="J7" s="30" t="s">
        <v>90</v>
      </c>
      <c r="K7" s="30" t="s">
        <v>91</v>
      </c>
      <c r="O7" s="31" t="s">
        <v>92</v>
      </c>
    </row>
    <row r="8" ht="14.25" customHeight="1">
      <c r="H8" s="6">
        <v>5.0</v>
      </c>
      <c r="I8" s="30" t="s">
        <v>90</v>
      </c>
      <c r="J8" s="30" t="s">
        <v>91</v>
      </c>
      <c r="K8" s="30"/>
      <c r="O8" s="31" t="s">
        <v>93</v>
      </c>
    </row>
    <row r="9" ht="14.25" customHeight="1">
      <c r="A9" s="23" t="s">
        <v>71</v>
      </c>
      <c r="B9" s="32" t="s">
        <v>94</v>
      </c>
      <c r="H9" s="6">
        <v>6.0</v>
      </c>
      <c r="I9" s="30" t="s">
        <v>95</v>
      </c>
      <c r="J9" s="30"/>
      <c r="K9" s="30"/>
      <c r="O9" s="31" t="s">
        <v>96</v>
      </c>
    </row>
    <row r="10" ht="14.25" customHeight="1">
      <c r="A10" s="6">
        <v>1.0</v>
      </c>
      <c r="B10" s="33" t="s">
        <v>97</v>
      </c>
      <c r="H10" s="6">
        <v>7.0</v>
      </c>
      <c r="I10" s="30" t="s">
        <v>98</v>
      </c>
      <c r="J10" s="30"/>
      <c r="K10" s="30"/>
      <c r="O10" s="31" t="s">
        <v>99</v>
      </c>
    </row>
    <row r="11" ht="14.25" customHeight="1">
      <c r="A11" s="6">
        <v>2.0</v>
      </c>
      <c r="B11" s="33" t="s">
        <v>100</v>
      </c>
      <c r="H11" s="6">
        <v>8.0</v>
      </c>
      <c r="I11" s="30" t="s">
        <v>101</v>
      </c>
      <c r="J11" s="30"/>
      <c r="K11" s="30"/>
    </row>
    <row r="12" ht="14.25" customHeight="1">
      <c r="A12" s="6">
        <v>3.0</v>
      </c>
      <c r="B12" s="33" t="s">
        <v>102</v>
      </c>
      <c r="H12" s="6">
        <v>9.0</v>
      </c>
      <c r="I12" s="30" t="s">
        <v>103</v>
      </c>
      <c r="J12" s="30"/>
      <c r="K12" s="30"/>
    </row>
    <row r="13" ht="14.25" customHeight="1">
      <c r="A13" s="6">
        <v>4.0</v>
      </c>
      <c r="B13" s="34" t="s">
        <v>104</v>
      </c>
      <c r="H13" s="6">
        <v>10.0</v>
      </c>
      <c r="I13" s="35" t="s">
        <v>91</v>
      </c>
      <c r="J13" s="35"/>
      <c r="K13" s="35"/>
    </row>
    <row r="14" ht="14.25" customHeight="1"/>
    <row r="15" ht="14.25" customHeight="1"/>
    <row r="16" ht="14.25" customHeight="1">
      <c r="I16" s="36" t="s">
        <v>105</v>
      </c>
    </row>
    <row r="17" ht="14.25" customHeight="1">
      <c r="I17" s="37" t="s">
        <v>106</v>
      </c>
      <c r="J17" s="37" t="s">
        <v>107</v>
      </c>
    </row>
    <row r="18" ht="14.25" customHeight="1">
      <c r="J18" s="8" t="s">
        <v>108</v>
      </c>
    </row>
    <row r="19" ht="14.25" customHeight="1">
      <c r="J19" s="37" t="s">
        <v>106</v>
      </c>
      <c r="K19" s="37" t="s">
        <v>109</v>
      </c>
    </row>
    <row r="20" ht="14.25" customHeight="1">
      <c r="K20" s="38" t="s">
        <v>110</v>
      </c>
    </row>
    <row r="21" ht="14.25" customHeight="1">
      <c r="K21" s="39" t="s">
        <v>111</v>
      </c>
    </row>
    <row r="22" ht="14.25" customHeight="1">
      <c r="K22" s="39" t="s">
        <v>112</v>
      </c>
    </row>
    <row r="23" ht="14.25" customHeight="1">
      <c r="A23" s="9" t="s">
        <v>113</v>
      </c>
    </row>
    <row r="24" ht="14.25" customHeight="1">
      <c r="A24" s="40" t="s">
        <v>54</v>
      </c>
      <c r="B24" s="40" t="s">
        <v>97</v>
      </c>
      <c r="C24" s="40" t="s">
        <v>114</v>
      </c>
      <c r="D24" s="40" t="s">
        <v>115</v>
      </c>
      <c r="K24" s="39" t="s">
        <v>116</v>
      </c>
    </row>
    <row r="25" ht="14.25" customHeight="1">
      <c r="A25" s="18"/>
      <c r="B25" s="18"/>
      <c r="C25" s="18"/>
      <c r="D25" s="18"/>
      <c r="I25" s="9"/>
      <c r="K25" s="39" t="s">
        <v>117</v>
      </c>
    </row>
    <row r="26" ht="14.25" customHeight="1">
      <c r="A26" s="18"/>
      <c r="B26" s="18"/>
      <c r="C26" s="18"/>
      <c r="D26" s="18"/>
    </row>
    <row r="27" ht="14.25" customHeight="1">
      <c r="A27" s="18"/>
      <c r="B27" s="18"/>
      <c r="C27" s="18"/>
      <c r="D27" s="18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1.0"/>
    <col customWidth="1" min="5" max="5" width="7.0"/>
  </cols>
  <sheetData>
    <row r="1">
      <c r="A1" s="9" t="s">
        <v>68</v>
      </c>
    </row>
    <row r="2">
      <c r="G2" s="9" t="s">
        <v>69</v>
      </c>
    </row>
    <row r="3">
      <c r="A3" s="23" t="s">
        <v>71</v>
      </c>
      <c r="B3" s="11" t="s">
        <v>72</v>
      </c>
      <c r="C3" s="24"/>
      <c r="F3" s="23" t="s">
        <v>71</v>
      </c>
      <c r="G3" s="18" t="s">
        <v>73</v>
      </c>
      <c r="H3" s="18" t="s">
        <v>74</v>
      </c>
      <c r="I3" s="18" t="s">
        <v>75</v>
      </c>
      <c r="L3" s="31" t="s">
        <v>118</v>
      </c>
      <c r="O3" s="31" t="s">
        <v>119</v>
      </c>
      <c r="P3" s="31" t="s">
        <v>120</v>
      </c>
    </row>
    <row r="4">
      <c r="A4" s="6">
        <v>1.0</v>
      </c>
      <c r="B4" s="25" t="s">
        <v>77</v>
      </c>
      <c r="C4" s="26"/>
      <c r="F4" s="6">
        <v>1.0</v>
      </c>
      <c r="G4" s="27" t="s">
        <v>78</v>
      </c>
      <c r="H4" s="27" t="s">
        <v>78</v>
      </c>
      <c r="I4" s="27" t="s">
        <v>79</v>
      </c>
      <c r="L4" s="31" t="s">
        <v>121</v>
      </c>
    </row>
    <row r="5">
      <c r="A5" s="6">
        <v>2.0</v>
      </c>
      <c r="B5" s="28" t="s">
        <v>80</v>
      </c>
      <c r="C5" s="29"/>
      <c r="F5" s="6">
        <v>2.0</v>
      </c>
      <c r="G5" s="30" t="s">
        <v>81</v>
      </c>
      <c r="H5" s="30" t="s">
        <v>81</v>
      </c>
      <c r="I5" s="30" t="s">
        <v>82</v>
      </c>
      <c r="L5" s="31" t="s">
        <v>122</v>
      </c>
    </row>
    <row r="6">
      <c r="A6" s="6">
        <v>3.0</v>
      </c>
      <c r="B6" s="28" t="s">
        <v>84</v>
      </c>
      <c r="C6" s="29"/>
      <c r="F6" s="6">
        <v>3.0</v>
      </c>
      <c r="G6" s="30" t="s">
        <v>85</v>
      </c>
      <c r="H6" s="30" t="s">
        <v>85</v>
      </c>
      <c r="I6" s="30" t="s">
        <v>86</v>
      </c>
      <c r="L6" s="31" t="s">
        <v>115</v>
      </c>
      <c r="O6" s="31" t="s">
        <v>123</v>
      </c>
      <c r="P6" s="31" t="s">
        <v>124</v>
      </c>
    </row>
    <row r="7">
      <c r="A7" s="6">
        <v>4.0</v>
      </c>
      <c r="B7" s="28" t="s">
        <v>88</v>
      </c>
      <c r="C7" s="29"/>
      <c r="F7" s="6">
        <v>4.0</v>
      </c>
      <c r="G7" s="30" t="s">
        <v>89</v>
      </c>
      <c r="H7" s="30" t="s">
        <v>90</v>
      </c>
      <c r="I7" s="30" t="s">
        <v>91</v>
      </c>
      <c r="L7" s="31" t="s">
        <v>125</v>
      </c>
      <c r="O7" s="31" t="s">
        <v>126</v>
      </c>
      <c r="P7" s="31" t="s">
        <v>127</v>
      </c>
    </row>
    <row r="8">
      <c r="F8" s="6">
        <v>5.0</v>
      </c>
      <c r="G8" s="30" t="s">
        <v>90</v>
      </c>
      <c r="H8" s="30" t="s">
        <v>91</v>
      </c>
      <c r="I8" s="30"/>
    </row>
    <row r="9">
      <c r="A9" s="23" t="s">
        <v>71</v>
      </c>
      <c r="B9" s="32" t="s">
        <v>94</v>
      </c>
      <c r="F9" s="6">
        <v>6.0</v>
      </c>
      <c r="G9" s="30" t="s">
        <v>95</v>
      </c>
      <c r="H9" s="30"/>
      <c r="I9" s="30"/>
    </row>
    <row r="10">
      <c r="A10" s="6">
        <v>1.0</v>
      </c>
      <c r="B10" s="33" t="s">
        <v>97</v>
      </c>
      <c r="F10" s="6">
        <v>7.0</v>
      </c>
      <c r="G10" s="30" t="s">
        <v>98</v>
      </c>
      <c r="H10" s="30"/>
      <c r="I10" s="30"/>
    </row>
    <row r="11">
      <c r="A11" s="6">
        <v>2.0</v>
      </c>
      <c r="B11" s="33" t="s">
        <v>100</v>
      </c>
      <c r="F11" s="6">
        <v>8.0</v>
      </c>
      <c r="G11" s="30" t="s">
        <v>101</v>
      </c>
      <c r="H11" s="30"/>
      <c r="I11" s="30"/>
    </row>
    <row r="12">
      <c r="A12" s="6">
        <v>3.0</v>
      </c>
      <c r="B12" s="33" t="s">
        <v>102</v>
      </c>
      <c r="F12" s="6">
        <v>9.0</v>
      </c>
      <c r="G12" s="30" t="s">
        <v>103</v>
      </c>
      <c r="H12" s="30"/>
      <c r="I12" s="30"/>
    </row>
    <row r="13">
      <c r="A13" s="6">
        <v>4.0</v>
      </c>
      <c r="B13" s="34" t="s">
        <v>104</v>
      </c>
      <c r="F13" s="6">
        <v>10.0</v>
      </c>
      <c r="G13" s="35" t="s">
        <v>91</v>
      </c>
      <c r="H13" s="35"/>
      <c r="I13" s="35"/>
    </row>
    <row r="14">
      <c r="N14" s="41" t="s">
        <v>128</v>
      </c>
    </row>
    <row r="15">
      <c r="N15" s="31" t="s">
        <v>129</v>
      </c>
    </row>
    <row r="16">
      <c r="N16" s="31" t="s">
        <v>130</v>
      </c>
    </row>
    <row r="17">
      <c r="A17" s="9" t="s">
        <v>113</v>
      </c>
      <c r="G17" s="36" t="s">
        <v>105</v>
      </c>
      <c r="N17" s="31" t="s">
        <v>131</v>
      </c>
    </row>
    <row r="18">
      <c r="A18" s="40" t="s">
        <v>54</v>
      </c>
      <c r="B18" s="40" t="s">
        <v>97</v>
      </c>
      <c r="C18" s="40" t="s">
        <v>114</v>
      </c>
      <c r="D18" s="40" t="s">
        <v>115</v>
      </c>
      <c r="G18" s="37" t="s">
        <v>106</v>
      </c>
      <c r="H18" s="37" t="s">
        <v>107</v>
      </c>
      <c r="N18" s="31" t="s">
        <v>88</v>
      </c>
    </row>
    <row r="19">
      <c r="A19" s="18"/>
      <c r="B19" s="18"/>
      <c r="C19" s="18"/>
      <c r="D19" s="18"/>
      <c r="H19" s="8" t="s">
        <v>108</v>
      </c>
      <c r="N19" s="31" t="s">
        <v>91</v>
      </c>
    </row>
    <row r="20">
      <c r="H20" s="37" t="s">
        <v>106</v>
      </c>
      <c r="I20" s="37" t="s">
        <v>109</v>
      </c>
    </row>
    <row r="21">
      <c r="I21" s="38" t="s">
        <v>110</v>
      </c>
    </row>
    <row r="22">
      <c r="I22" s="39" t="s">
        <v>111</v>
      </c>
    </row>
    <row r="23">
      <c r="I23" s="39" t="s">
        <v>112</v>
      </c>
    </row>
    <row r="24">
      <c r="B24" s="42"/>
    </row>
    <row r="25">
      <c r="I25" s="39" t="s">
        <v>116</v>
      </c>
    </row>
    <row r="26">
      <c r="G26" s="9"/>
      <c r="I26" s="39" t="s">
        <v>117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8.43"/>
  </cols>
  <sheetData>
    <row r="3">
      <c r="C3" s="31" t="s">
        <v>132</v>
      </c>
      <c r="D3" s="31">
        <v>6.0</v>
      </c>
      <c r="E3" s="31" t="s">
        <v>133</v>
      </c>
      <c r="G3" s="31">
        <v>0.128</v>
      </c>
      <c r="H3" s="8">
        <f t="shared" ref="H3:H4" si="1">G3*6</f>
        <v>0.768</v>
      </c>
    </row>
    <row r="4">
      <c r="C4" s="31" t="s">
        <v>134</v>
      </c>
      <c r="D4" s="31">
        <v>6.0</v>
      </c>
      <c r="G4" s="31" t="str">
        <f>I11</f>
        <v/>
      </c>
      <c r="H4" s="8">
        <f t="shared" si="1"/>
        <v>0</v>
      </c>
    </row>
    <row r="5">
      <c r="C5" s="31" t="s">
        <v>135</v>
      </c>
      <c r="D5" s="31">
        <f>24*60</f>
        <v>1440</v>
      </c>
      <c r="E5" s="31" t="s">
        <v>136</v>
      </c>
    </row>
    <row r="6">
      <c r="C6" s="31" t="s">
        <v>137</v>
      </c>
      <c r="D6" s="8">
        <f>(D5*D3)</f>
        <v>8640</v>
      </c>
    </row>
    <row r="7">
      <c r="C7" s="31" t="s">
        <v>138</v>
      </c>
      <c r="D7" s="8">
        <f>D6*D4</f>
        <v>51840</v>
      </c>
      <c r="E7" s="31" t="s">
        <v>139</v>
      </c>
      <c r="G7" s="31">
        <v>128.0</v>
      </c>
      <c r="H7" s="31" t="s">
        <v>140</v>
      </c>
    </row>
    <row r="8">
      <c r="D8" s="43">
        <f>D7/1024</f>
        <v>50.625</v>
      </c>
      <c r="E8" s="44" t="s">
        <v>141</v>
      </c>
      <c r="G8" s="8">
        <f>G7/1000</f>
        <v>0.128</v>
      </c>
      <c r="H8" s="31" t="s">
        <v>142</v>
      </c>
    </row>
    <row r="9">
      <c r="G9" s="31">
        <v>9.0</v>
      </c>
      <c r="H9" s="31" t="s">
        <v>143</v>
      </c>
    </row>
    <row r="10">
      <c r="G10" s="45">
        <f>G8/9</f>
        <v>0.01422222222</v>
      </c>
      <c r="H10" s="31" t="s">
        <v>144</v>
      </c>
    </row>
    <row r="11">
      <c r="C11" s="31" t="s">
        <v>145</v>
      </c>
      <c r="D11" s="8">
        <f>7*D8</f>
        <v>354.375</v>
      </c>
    </row>
    <row r="12">
      <c r="C12" s="31" t="s">
        <v>146</v>
      </c>
      <c r="D12" s="8">
        <f>4*D11</f>
        <v>1417.5</v>
      </c>
      <c r="G12" s="8">
        <f>D7*G10</f>
        <v>737.28</v>
      </c>
      <c r="H12" s="31" t="s">
        <v>147</v>
      </c>
    </row>
    <row r="13">
      <c r="C13" s="31" t="s">
        <v>148</v>
      </c>
      <c r="D13" s="8">
        <f>12*D12</f>
        <v>17010</v>
      </c>
      <c r="G13" s="8">
        <f>G12*30</f>
        <v>22118.4</v>
      </c>
      <c r="H13" s="31" t="s">
        <v>149</v>
      </c>
      <c r="I13" s="8">
        <f t="shared" ref="I13:I14" si="2">G13/1024</f>
        <v>21.6</v>
      </c>
      <c r="J13" s="31" t="s">
        <v>150</v>
      </c>
    </row>
    <row r="14">
      <c r="G14" s="8">
        <f>G13*12</f>
        <v>265420.8</v>
      </c>
      <c r="H14" s="31" t="s">
        <v>151</v>
      </c>
      <c r="I14" s="8">
        <f t="shared" si="2"/>
        <v>259.2</v>
      </c>
      <c r="J14" s="31" t="s">
        <v>152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9.57"/>
    <col customWidth="1" min="3" max="26" width="10.71"/>
  </cols>
  <sheetData>
    <row r="1" ht="14.25" customHeight="1">
      <c r="A1" s="9" t="s">
        <v>153</v>
      </c>
    </row>
    <row r="2" ht="14.25" customHeight="1"/>
    <row r="3" ht="14.25" customHeight="1">
      <c r="A3" s="40" t="s">
        <v>71</v>
      </c>
      <c r="B3" s="40" t="s">
        <v>154</v>
      </c>
    </row>
    <row r="4" ht="25.5" customHeight="1">
      <c r="A4" s="46">
        <v>1.0</v>
      </c>
      <c r="B4" s="47" t="s">
        <v>155</v>
      </c>
    </row>
    <row r="5" ht="25.5" customHeight="1">
      <c r="A5" s="46">
        <v>2.0</v>
      </c>
      <c r="B5" s="47" t="s">
        <v>156</v>
      </c>
    </row>
    <row r="6" ht="25.5" customHeight="1">
      <c r="A6" s="46">
        <v>3.0</v>
      </c>
      <c r="B6" s="47" t="s">
        <v>157</v>
      </c>
    </row>
    <row r="7" ht="25.5" customHeight="1">
      <c r="A7" s="46">
        <v>4.0</v>
      </c>
      <c r="B7" s="47" t="s">
        <v>158</v>
      </c>
    </row>
    <row r="8" ht="25.5" customHeight="1">
      <c r="A8" s="46">
        <v>5.0</v>
      </c>
      <c r="B8" s="47" t="s">
        <v>159</v>
      </c>
    </row>
    <row r="9" ht="25.5" customHeight="1">
      <c r="A9" s="46">
        <v>6.0</v>
      </c>
      <c r="B9" s="47" t="s">
        <v>160</v>
      </c>
    </row>
    <row r="10" ht="25.5" customHeight="1">
      <c r="A10" s="46"/>
      <c r="B10" s="47"/>
    </row>
    <row r="11" ht="25.5" customHeight="1">
      <c r="A11" s="46"/>
      <c r="B11" s="47"/>
    </row>
    <row r="12" ht="25.5" customHeight="1">
      <c r="A12" s="46"/>
      <c r="B12" s="47"/>
    </row>
    <row r="13" ht="25.5" customHeight="1">
      <c r="A13" s="46"/>
      <c r="B13" s="47"/>
    </row>
    <row r="14" ht="25.5" customHeight="1">
      <c r="A14" s="46"/>
      <c r="B14" s="47"/>
    </row>
    <row r="15" ht="25.5" customHeight="1">
      <c r="A15" s="46"/>
      <c r="B15" s="47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86"/>
    <col customWidth="1" min="3" max="20" width="4.14"/>
    <col customWidth="1" min="21" max="26" width="10.71"/>
  </cols>
  <sheetData>
    <row r="1" ht="14.25" customHeight="1"/>
    <row r="2" ht="14.25" customHeight="1"/>
    <row r="3" ht="14.25" customHeight="1"/>
    <row r="4" ht="14.25" customHeight="1">
      <c r="A4" s="48" t="s">
        <v>161</v>
      </c>
      <c r="B4" s="48" t="s">
        <v>162</v>
      </c>
      <c r="C4" s="49" t="s">
        <v>163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3"/>
    </row>
    <row r="5" ht="14.25" customHeight="1">
      <c r="A5" s="14"/>
      <c r="B5" s="14"/>
      <c r="C5" s="49" t="s">
        <v>164</v>
      </c>
      <c r="D5" s="12"/>
      <c r="E5" s="12"/>
      <c r="F5" s="12"/>
      <c r="G5" s="12"/>
      <c r="H5" s="12"/>
      <c r="I5" s="12"/>
      <c r="J5" s="13"/>
      <c r="K5" s="49" t="s">
        <v>165</v>
      </c>
      <c r="L5" s="12"/>
      <c r="M5" s="12"/>
      <c r="N5" s="12"/>
      <c r="O5" s="12"/>
      <c r="P5" s="12"/>
      <c r="Q5" s="12"/>
      <c r="R5" s="12"/>
      <c r="S5" s="12"/>
      <c r="T5" s="13"/>
    </row>
    <row r="6" ht="20.25" customHeight="1">
      <c r="A6" s="46" t="s">
        <v>27</v>
      </c>
      <c r="B6" s="50" t="s">
        <v>166</v>
      </c>
      <c r="C6" s="46" t="s">
        <v>1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51"/>
      <c r="V6" s="51"/>
      <c r="W6" s="51"/>
      <c r="X6" s="51"/>
      <c r="Y6" s="51"/>
      <c r="Z6" s="51"/>
    </row>
    <row r="7" ht="20.25" customHeight="1">
      <c r="A7" s="46" t="s">
        <v>38</v>
      </c>
      <c r="B7" s="50" t="s">
        <v>167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51"/>
      <c r="V7" s="51"/>
      <c r="W7" s="51"/>
      <c r="X7" s="51"/>
      <c r="Y7" s="51"/>
      <c r="Z7" s="51"/>
    </row>
    <row r="8" ht="20.25" customHeight="1">
      <c r="A8" s="46" t="s">
        <v>42</v>
      </c>
      <c r="B8" s="50" t="s">
        <v>168</v>
      </c>
      <c r="C8" s="46" t="s">
        <v>169</v>
      </c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51"/>
      <c r="V8" s="51"/>
      <c r="W8" s="51"/>
      <c r="X8" s="51"/>
      <c r="Y8" s="51"/>
      <c r="Z8" s="51"/>
    </row>
    <row r="9" ht="20.25" customHeight="1">
      <c r="A9" s="46" t="s">
        <v>41</v>
      </c>
      <c r="B9" s="50" t="s">
        <v>170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51"/>
      <c r="V9" s="51"/>
      <c r="W9" s="51"/>
      <c r="X9" s="51"/>
      <c r="Y9" s="51"/>
      <c r="Z9" s="51"/>
    </row>
    <row r="10" ht="20.25" customHeight="1">
      <c r="A10" s="46" t="s">
        <v>171</v>
      </c>
      <c r="B10" s="50" t="s">
        <v>172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51"/>
      <c r="V10" s="51"/>
      <c r="W10" s="51"/>
      <c r="X10" s="51"/>
      <c r="Y10" s="51"/>
      <c r="Z10" s="51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4:A5"/>
    <mergeCell ref="B4:B5"/>
    <mergeCell ref="C4:T4"/>
    <mergeCell ref="C5:J5"/>
    <mergeCell ref="K5:T5"/>
  </mergeCells>
  <conditionalFormatting sqref="C6:T10">
    <cfRule type="cellIs" dxfId="0" priority="1" operator="equal">
      <formula>"X"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2022-09-27T16:31:48Z</dcterms:created>
  <dc:creator>Jaime Aros</dc:creator>
</cp:coreProperties>
</file>