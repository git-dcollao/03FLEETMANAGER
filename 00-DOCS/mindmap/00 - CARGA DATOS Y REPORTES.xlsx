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A DATOS" sheetId="1" r:id="rId4"/>
    <sheet state="visible" name="REPORTES" sheetId="2" r:id="rId5"/>
    <sheet state="visible" name="Hoja 3" sheetId="3" r:id="rId6"/>
    <sheet state="visible" name="Hoja 4" sheetId="4" r:id="rId7"/>
  </sheets>
  <definedNames/>
  <calcPr/>
</workbook>
</file>

<file path=xl/sharedStrings.xml><?xml version="1.0" encoding="utf-8"?>
<sst xmlns="http://schemas.openxmlformats.org/spreadsheetml/2006/main" count="68" uniqueCount="50">
  <si>
    <t>MASIVO</t>
  </si>
  <si>
    <t>MANUAL</t>
  </si>
  <si>
    <t>VEHÍCULOS</t>
  </si>
  <si>
    <t>- Datos del vehÍculo</t>
  </si>
  <si>
    <t>- Datos del vehículo</t>
  </si>
  <si>
    <t>TIPO VEHICULO</t>
  </si>
  <si>
    <t>- DATOS</t>
  </si>
  <si>
    <t>DETALLE_TV</t>
  </si>
  <si>
    <t>-DATOS</t>
  </si>
  <si>
    <t>PERSONAL</t>
  </si>
  <si>
    <t xml:space="preserve">- Datos del personal </t>
  </si>
  <si>
    <t>ROMANA</t>
  </si>
  <si>
    <t>- Pesaje de los camiones (Informe recibido)</t>
  </si>
  <si>
    <t>???</t>
  </si>
  <si>
    <t>- Datos del pesaje</t>
  </si>
  <si>
    <t>AREA</t>
  </si>
  <si>
    <t>- Datos</t>
  </si>
  <si>
    <t>COORDENADAS</t>
  </si>
  <si>
    <t>TURNOS</t>
  </si>
  <si>
    <t>EQUIPO PERSONAL</t>
  </si>
  <si>
    <t>USUARIO</t>
  </si>
  <si>
    <t>ROL_USUARIO</t>
  </si>
  <si>
    <t>PERMISO PAGINA</t>
  </si>
  <si>
    <t>EMPRESA</t>
  </si>
  <si>
    <t>PERMISO DEPARTAMENTO USUARIO</t>
  </si>
  <si>
    <t>FLOTA</t>
  </si>
  <si>
    <t>INVESTIGACIÓN</t>
  </si>
  <si>
    <t>- PARTE AUTOMATICO</t>
  </si>
  <si>
    <t>COORDENADAS_VEHICULO</t>
  </si>
  <si>
    <t>- Recorridos (ptos GPS)</t>
  </si>
  <si>
    <t>NO TIENE</t>
  </si>
  <si>
    <t>CARGO</t>
  </si>
  <si>
    <t>PARAMETROS</t>
  </si>
  <si>
    <t>DETALLE</t>
  </si>
  <si>
    <t>TEMPORALIDAD</t>
  </si>
  <si>
    <t>VEHÍCULO</t>
  </si>
  <si>
    <t>t° operativo</t>
  </si>
  <si>
    <t>dia, semanal, mensual, anual</t>
  </si>
  <si>
    <t>Empresa, Dpto, Flota, Vehículo, Tipo de Área(-cerco)</t>
  </si>
  <si>
    <t>Km recorridos</t>
  </si>
  <si>
    <t>Empresa, Dpto, Flota, Vehículo, Tipo de Área</t>
  </si>
  <si>
    <t>t° detenido</t>
  </si>
  <si>
    <t>Empresa, Dpto, Flota, Vehículo, Cerco</t>
  </si>
  <si>
    <t>Toneladas botadas</t>
  </si>
  <si>
    <t>Empresa, Dpto, Flota, Vehículo, Turno, Tipo de Área(-cerco)</t>
  </si>
  <si>
    <t xml:space="preserve">Cant. </t>
  </si>
  <si>
    <t>Empresa, Dpto, Flota, Vehículo, Turno</t>
  </si>
  <si>
    <t>X</t>
  </si>
  <si>
    <t>coordenadas</t>
  </si>
  <si>
    <t>milisegundos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</si>
</sst>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30.0"/>
    <col customWidth="1" min="3" max="3" width="5.5"/>
    <col customWidth="1" min="4" max="4" width="3.5"/>
    <col customWidth="1" min="5" max="5" width="1.63"/>
    <col customWidth="1" min="6" max="6" width="23.5"/>
  </cols>
  <sheetData>
    <row r="1">
      <c r="B1" s="1" t="s">
        <v>0</v>
      </c>
      <c r="F1" s="1" t="s">
        <v>1</v>
      </c>
    </row>
    <row r="2">
      <c r="A2" s="2" t="s">
        <v>2</v>
      </c>
      <c r="B2" s="2" t="s">
        <v>3</v>
      </c>
      <c r="F2" s="2" t="s">
        <v>4</v>
      </c>
    </row>
    <row r="4">
      <c r="A4" s="2" t="s">
        <v>5</v>
      </c>
      <c r="F4" s="2" t="s">
        <v>6</v>
      </c>
    </row>
    <row r="6">
      <c r="A6" s="2" t="s">
        <v>7</v>
      </c>
      <c r="F6" s="2" t="s">
        <v>8</v>
      </c>
    </row>
    <row r="8">
      <c r="A8" s="2" t="s">
        <v>9</v>
      </c>
      <c r="B8" s="2" t="s">
        <v>10</v>
      </c>
      <c r="F8" s="2" t="s">
        <v>10</v>
      </c>
    </row>
    <row r="10">
      <c r="A10" s="2" t="s">
        <v>11</v>
      </c>
      <c r="B10" s="2" t="s">
        <v>12</v>
      </c>
      <c r="C10" s="2" t="s">
        <v>13</v>
      </c>
      <c r="F10" s="2" t="s">
        <v>14</v>
      </c>
    </row>
    <row r="12">
      <c r="A12" s="2" t="s">
        <v>15</v>
      </c>
      <c r="F12" s="2" t="s">
        <v>16</v>
      </c>
    </row>
    <row r="14">
      <c r="A14" s="2" t="s">
        <v>17</v>
      </c>
      <c r="F14" s="2" t="s">
        <v>16</v>
      </c>
    </row>
    <row r="16">
      <c r="A16" s="2" t="s">
        <v>18</v>
      </c>
      <c r="F16" s="2" t="s">
        <v>16</v>
      </c>
    </row>
    <row r="18">
      <c r="A18" s="2" t="s">
        <v>19</v>
      </c>
      <c r="F18" s="2" t="s">
        <v>16</v>
      </c>
    </row>
    <row r="20">
      <c r="A20" s="2" t="s">
        <v>20</v>
      </c>
      <c r="F20" s="2" t="s">
        <v>16</v>
      </c>
    </row>
    <row r="22">
      <c r="A22" s="2" t="s">
        <v>21</v>
      </c>
      <c r="F22" s="2" t="s">
        <v>16</v>
      </c>
    </row>
    <row r="24">
      <c r="A24" s="2" t="s">
        <v>22</v>
      </c>
      <c r="F24" s="2" t="s">
        <v>16</v>
      </c>
    </row>
    <row r="26">
      <c r="A26" s="2" t="s">
        <v>23</v>
      </c>
      <c r="F26" s="2" t="s">
        <v>16</v>
      </c>
    </row>
    <row r="28">
      <c r="A28" s="2" t="s">
        <v>24</v>
      </c>
      <c r="F28" s="2" t="s">
        <v>16</v>
      </c>
    </row>
    <row r="30">
      <c r="A30" s="2" t="s">
        <v>25</v>
      </c>
      <c r="F30" s="2" t="s">
        <v>16</v>
      </c>
    </row>
    <row r="32">
      <c r="A32" s="2" t="s">
        <v>26</v>
      </c>
      <c r="F32" s="2" t="s">
        <v>27</v>
      </c>
    </row>
    <row r="34">
      <c r="A34" s="2" t="s">
        <v>28</v>
      </c>
      <c r="B34" s="2" t="s">
        <v>29</v>
      </c>
      <c r="F34" s="2" t="s">
        <v>30</v>
      </c>
    </row>
    <row r="36">
      <c r="A36" s="2" t="s">
        <v>31</v>
      </c>
      <c r="F36" s="2" t="s">
        <v>6</v>
      </c>
    </row>
    <row r="38">
      <c r="A38" s="2" t="s">
        <v>32</v>
      </c>
      <c r="F38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33.13"/>
    <col customWidth="1" min="3" max="3" width="35.88"/>
    <col customWidth="1" min="4" max="4" width="46.13"/>
  </cols>
  <sheetData>
    <row r="1">
      <c r="B1" s="2" t="s">
        <v>33</v>
      </c>
      <c r="C1" s="2" t="s">
        <v>34</v>
      </c>
    </row>
    <row r="2">
      <c r="A2" s="2" t="s">
        <v>35</v>
      </c>
    </row>
    <row r="3">
      <c r="B3" s="2" t="s">
        <v>36</v>
      </c>
      <c r="C3" s="2" t="s">
        <v>37</v>
      </c>
      <c r="D3" s="2" t="s">
        <v>38</v>
      </c>
    </row>
    <row r="4">
      <c r="B4" s="2" t="s">
        <v>39</v>
      </c>
      <c r="C4" s="2" t="s">
        <v>37</v>
      </c>
      <c r="D4" s="2" t="s">
        <v>40</v>
      </c>
    </row>
    <row r="5">
      <c r="B5" s="2" t="s">
        <v>41</v>
      </c>
      <c r="C5" s="2" t="s">
        <v>37</v>
      </c>
      <c r="D5" s="2" t="s">
        <v>42</v>
      </c>
    </row>
    <row r="6">
      <c r="B6" s="2" t="s">
        <v>43</v>
      </c>
      <c r="C6" s="2" t="s">
        <v>37</v>
      </c>
      <c r="D6" s="2" t="s">
        <v>44</v>
      </c>
    </row>
    <row r="7">
      <c r="B7" s="2" t="s">
        <v>45</v>
      </c>
      <c r="C7" s="2" t="s">
        <v>37</v>
      </c>
      <c r="D7" s="2" t="s">
        <v>46</v>
      </c>
    </row>
    <row r="8">
      <c r="C8" s="2"/>
    </row>
    <row r="9">
      <c r="C9" s="2"/>
    </row>
    <row r="10">
      <c r="C1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E4" s="2">
        <v>1650.0</v>
      </c>
      <c r="F4" s="2">
        <v>50.0</v>
      </c>
      <c r="G4" s="3">
        <f>E4/F4</f>
        <v>33</v>
      </c>
      <c r="H4" s="2">
        <v>3.0</v>
      </c>
      <c r="I4" s="3">
        <f>G4/H4</f>
        <v>11</v>
      </c>
      <c r="M4" s="2">
        <v>270000.0</v>
      </c>
    </row>
    <row r="6">
      <c r="E6" s="2">
        <v>13350.0</v>
      </c>
      <c r="F6" s="2">
        <v>50.0</v>
      </c>
      <c r="G6" s="3">
        <f>E6/F6</f>
        <v>267</v>
      </c>
      <c r="H6" s="2">
        <v>3.0</v>
      </c>
      <c r="I6" s="3">
        <f>G6/H6</f>
        <v>89</v>
      </c>
      <c r="M6" s="2">
        <v>7.0</v>
      </c>
    </row>
    <row r="7">
      <c r="M7" s="2">
        <v>2.0</v>
      </c>
      <c r="N7" s="2" t="s">
        <v>47</v>
      </c>
    </row>
    <row r="9">
      <c r="L9" s="2">
        <v>4.0</v>
      </c>
    </row>
    <row r="10">
      <c r="L10" s="2">
        <v>5.0</v>
      </c>
    </row>
    <row r="12">
      <c r="D12" s="2">
        <v>21.0</v>
      </c>
      <c r="F12" s="2">
        <v>6.0</v>
      </c>
    </row>
    <row r="13">
      <c r="D13" s="2" t="s">
        <v>47</v>
      </c>
      <c r="F13" s="2">
        <v>35.0</v>
      </c>
      <c r="I13" s="3">
        <f>F13*D12/F12</f>
        <v>122.5</v>
      </c>
      <c r="L13" s="2">
        <v>270000.0</v>
      </c>
      <c r="M13" s="2">
        <v>9.0</v>
      </c>
    </row>
    <row r="14">
      <c r="L14" s="2">
        <f>M14*L13/M13</f>
        <v>30000</v>
      </c>
      <c r="M14" s="2">
        <v>1.0</v>
      </c>
    </row>
    <row r="15">
      <c r="D15" s="2">
        <v>21.0</v>
      </c>
      <c r="F15" s="2">
        <v>6.0</v>
      </c>
      <c r="I15" s="3">
        <f>F12*F13/D12</f>
        <v>10</v>
      </c>
    </row>
    <row r="16">
      <c r="D16" s="2">
        <v>35.0</v>
      </c>
      <c r="F16" s="2" t="s">
        <v>47</v>
      </c>
      <c r="I16" s="3">
        <f>D16*F15/D15</f>
        <v>10</v>
      </c>
      <c r="L16" s="3">
        <f>L14*2</f>
        <v>60000</v>
      </c>
    </row>
    <row r="17">
      <c r="L17" s="3">
        <f>L14*7</f>
        <v>210000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2">
        <v>60.0</v>
      </c>
      <c r="D3" s="2">
        <f>3600*24</f>
        <v>86400</v>
      </c>
      <c r="J3" s="2">
        <v>643.0</v>
      </c>
      <c r="K3" s="2" t="s">
        <v>48</v>
      </c>
    </row>
    <row r="4">
      <c r="D4" s="3">
        <f>D3/60</f>
        <v>1440</v>
      </c>
      <c r="F4" s="2">
        <v>60.0</v>
      </c>
    </row>
    <row r="5">
      <c r="D5" s="3">
        <f>D4/F4</f>
        <v>24</v>
      </c>
      <c r="J5" s="3">
        <f>J3/G9</f>
        <v>64.3</v>
      </c>
    </row>
    <row r="8">
      <c r="G8" s="2">
        <v>100.0</v>
      </c>
      <c r="H8" s="2" t="s">
        <v>49</v>
      </c>
    </row>
    <row r="9">
      <c r="G9" s="2">
        <v>10.0</v>
      </c>
      <c r="J9" s="2">
        <v>1500.0</v>
      </c>
    </row>
    <row r="11">
      <c r="J11" s="3">
        <f>J9/G8</f>
        <v>15</v>
      </c>
    </row>
  </sheetData>
  <drawing r:id="rId1"/>
</worksheet>
</file>